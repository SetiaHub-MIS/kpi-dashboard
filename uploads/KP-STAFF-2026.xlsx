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SETIAHUB TEAM Dropbox\Marketing Dept\CHECKLIST STAFF\SH\KP-STAFF\"/>
    </mc:Choice>
  </mc:AlternateContent>
  <xr:revisionPtr revIDLastSave="0" documentId="8_{F9D535B8-A92B-4CD1-B000-2170DFA6C746}" xr6:coauthVersionLast="47" xr6:coauthVersionMax="47" xr10:uidLastSave="{00000000-0000-0000-0000-000000000000}"/>
  <bookViews>
    <workbookView xWindow="-120" yWindow="-120" windowWidth="29040" windowHeight="15720" tabRatio="873" firstSheet="6" activeTab="6" xr2:uid="{B27EB351-99A1-4A08-B9E3-C5ADCCD98ECD}"/>
  </bookViews>
  <sheets>
    <sheet name="CHECKLIST STAFF" sheetId="1" r:id="rId1"/>
    <sheet name="CHECKLIST KEDAI" sheetId="2" r:id="rId2"/>
    <sheet name="KP0093_SYAZANA IZZAH ZAFIRAH" sheetId="3" r:id="rId3"/>
    <sheet name="KP0103_PUTRI WAHIDA AMALIN" sheetId="11" r:id="rId4"/>
    <sheet name="KP0108_NOR ASYIKIN" sheetId="18" r:id="rId5"/>
    <sheet name="KP0110_FILZAH DIYANA" sheetId="19" r:id="rId6"/>
    <sheet name="KP0111_PUTERI NUR HAFIZA" sheetId="20" r:id="rId7"/>
    <sheet name="MY0544_U TIN TUN" sheetId="15" r:id="rId8"/>
    <sheet name="MY0606_AH SAN" sheetId="16" r:id="rId9"/>
    <sheet name="MY0644_PYHI SI THU" sheetId="1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5" i="20" l="1"/>
  <c r="G515" i="20"/>
  <c r="E515" i="20"/>
  <c r="D515" i="20"/>
  <c r="K514" i="20"/>
  <c r="J514" i="20"/>
  <c r="I514" i="20"/>
  <c r="H514" i="20"/>
  <c r="G514" i="20"/>
  <c r="F514" i="20"/>
  <c r="E514" i="20"/>
  <c r="D514" i="20"/>
  <c r="K513" i="20"/>
  <c r="K515" i="20" s="1"/>
  <c r="J513" i="20"/>
  <c r="J515" i="20" s="1"/>
  <c r="I513" i="20"/>
  <c r="I515" i="20" s="1"/>
  <c r="H513" i="20"/>
  <c r="G513" i="20"/>
  <c r="F513" i="20"/>
  <c r="F515" i="20" s="1"/>
  <c r="E513" i="20"/>
  <c r="D513" i="20"/>
  <c r="J473" i="20"/>
  <c r="I473" i="20"/>
  <c r="G473" i="20"/>
  <c r="F473" i="20"/>
  <c r="K472" i="20"/>
  <c r="J472" i="20"/>
  <c r="I472" i="20"/>
  <c r="H472" i="20"/>
  <c r="G472" i="20"/>
  <c r="F472" i="20"/>
  <c r="E472" i="20"/>
  <c r="D472" i="20"/>
  <c r="K471" i="20"/>
  <c r="K473" i="20" s="1"/>
  <c r="J471" i="20"/>
  <c r="I471" i="20"/>
  <c r="H471" i="20"/>
  <c r="H473" i="20" s="1"/>
  <c r="G471" i="20"/>
  <c r="F471" i="20"/>
  <c r="E471" i="20"/>
  <c r="E473" i="20" s="1"/>
  <c r="N472" i="20" s="1"/>
  <c r="T12" i="20" s="1"/>
  <c r="D471" i="20"/>
  <c r="D473" i="20" s="1"/>
  <c r="M472" i="20" s="1"/>
  <c r="S12" i="20" s="1"/>
  <c r="K431" i="20"/>
  <c r="I431" i="20"/>
  <c r="H431" i="20"/>
  <c r="D431" i="20"/>
  <c r="K430" i="20"/>
  <c r="J430" i="20"/>
  <c r="I430" i="20"/>
  <c r="H430" i="20"/>
  <c r="G430" i="20"/>
  <c r="F430" i="20"/>
  <c r="E430" i="20"/>
  <c r="D430" i="20"/>
  <c r="K429" i="20"/>
  <c r="J429" i="20"/>
  <c r="J431" i="20" s="1"/>
  <c r="I429" i="20"/>
  <c r="H429" i="20"/>
  <c r="G429" i="20"/>
  <c r="G431" i="20" s="1"/>
  <c r="F429" i="20"/>
  <c r="F431" i="20" s="1"/>
  <c r="E429" i="20"/>
  <c r="E431" i="20" s="1"/>
  <c r="N430" i="20" s="1"/>
  <c r="T11" i="20" s="1"/>
  <c r="D429" i="20"/>
  <c r="K389" i="20"/>
  <c r="J389" i="20"/>
  <c r="F389" i="20"/>
  <c r="E389" i="20"/>
  <c r="N388" i="20" s="1"/>
  <c r="T10" i="20" s="1"/>
  <c r="K388" i="20"/>
  <c r="J388" i="20"/>
  <c r="I388" i="20"/>
  <c r="H388" i="20"/>
  <c r="G388" i="20"/>
  <c r="F388" i="20"/>
  <c r="E388" i="20"/>
  <c r="D388" i="20"/>
  <c r="K387" i="20"/>
  <c r="J387" i="20"/>
  <c r="I387" i="20"/>
  <c r="I389" i="20" s="1"/>
  <c r="H387" i="20"/>
  <c r="H389" i="20" s="1"/>
  <c r="G387" i="20"/>
  <c r="G389" i="20" s="1"/>
  <c r="F387" i="20"/>
  <c r="E387" i="20"/>
  <c r="D387" i="20"/>
  <c r="D389" i="20" s="1"/>
  <c r="M388" i="20" s="1"/>
  <c r="S10" i="20" s="1"/>
  <c r="H347" i="20"/>
  <c r="G347" i="20"/>
  <c r="E347" i="20"/>
  <c r="D347" i="20"/>
  <c r="K346" i="20"/>
  <c r="J346" i="20"/>
  <c r="I346" i="20"/>
  <c r="H346" i="20"/>
  <c r="G346" i="20"/>
  <c r="F346" i="20"/>
  <c r="E346" i="20"/>
  <c r="D346" i="20"/>
  <c r="K345" i="20"/>
  <c r="K347" i="20" s="1"/>
  <c r="J345" i="20"/>
  <c r="J347" i="20" s="1"/>
  <c r="I345" i="20"/>
  <c r="I347" i="20" s="1"/>
  <c r="H345" i="20"/>
  <c r="G345" i="20"/>
  <c r="F345" i="20"/>
  <c r="F347" i="20" s="1"/>
  <c r="E345" i="20"/>
  <c r="D345" i="20"/>
  <c r="J305" i="20"/>
  <c r="I305" i="20"/>
  <c r="G305" i="20"/>
  <c r="F305" i="20"/>
  <c r="K304" i="20"/>
  <c r="J304" i="20"/>
  <c r="I304" i="20"/>
  <c r="H304" i="20"/>
  <c r="G304" i="20"/>
  <c r="F304" i="20"/>
  <c r="E304" i="20"/>
  <c r="D304" i="20"/>
  <c r="K303" i="20"/>
  <c r="K305" i="20" s="1"/>
  <c r="J303" i="20"/>
  <c r="I303" i="20"/>
  <c r="H303" i="20"/>
  <c r="H305" i="20" s="1"/>
  <c r="G303" i="20"/>
  <c r="F303" i="20"/>
  <c r="E303" i="20"/>
  <c r="E305" i="20" s="1"/>
  <c r="N304" i="20" s="1"/>
  <c r="T8" i="20" s="1"/>
  <c r="D303" i="20"/>
  <c r="D305" i="20" s="1"/>
  <c r="M304" i="20" s="1"/>
  <c r="S8" i="20" s="1"/>
  <c r="K263" i="20"/>
  <c r="I263" i="20"/>
  <c r="H263" i="20"/>
  <c r="D263" i="20"/>
  <c r="K262" i="20"/>
  <c r="J262" i="20"/>
  <c r="I262" i="20"/>
  <c r="H262" i="20"/>
  <c r="G262" i="20"/>
  <c r="F262" i="20"/>
  <c r="E262" i="20"/>
  <c r="D262" i="20"/>
  <c r="K261" i="20"/>
  <c r="J261" i="20"/>
  <c r="J263" i="20" s="1"/>
  <c r="I261" i="20"/>
  <c r="H261" i="20"/>
  <c r="G261" i="20"/>
  <c r="G263" i="20" s="1"/>
  <c r="F261" i="20"/>
  <c r="F263" i="20" s="1"/>
  <c r="E261" i="20"/>
  <c r="E263" i="20" s="1"/>
  <c r="N262" i="20" s="1"/>
  <c r="T7" i="20" s="1"/>
  <c r="D261" i="20"/>
  <c r="K221" i="20"/>
  <c r="J221" i="20"/>
  <c r="F221" i="20"/>
  <c r="E221" i="20"/>
  <c r="N220" i="20" s="1"/>
  <c r="T6" i="20" s="1"/>
  <c r="K220" i="20"/>
  <c r="J220" i="20"/>
  <c r="I220" i="20"/>
  <c r="H220" i="20"/>
  <c r="G220" i="20"/>
  <c r="F220" i="20"/>
  <c r="E220" i="20"/>
  <c r="D220" i="20"/>
  <c r="K219" i="20"/>
  <c r="J219" i="20"/>
  <c r="I219" i="20"/>
  <c r="I221" i="20" s="1"/>
  <c r="H219" i="20"/>
  <c r="H221" i="20" s="1"/>
  <c r="G219" i="20"/>
  <c r="G221" i="20" s="1"/>
  <c r="F219" i="20"/>
  <c r="E219" i="20"/>
  <c r="D219" i="20"/>
  <c r="D221" i="20" s="1"/>
  <c r="M220" i="20" s="1"/>
  <c r="S6" i="20" s="1"/>
  <c r="H179" i="20"/>
  <c r="G179" i="20"/>
  <c r="E179" i="20"/>
  <c r="D179" i="20"/>
  <c r="K178" i="20"/>
  <c r="J178" i="20"/>
  <c r="I178" i="20"/>
  <c r="H178" i="20"/>
  <c r="G178" i="20"/>
  <c r="F178" i="20"/>
  <c r="E178" i="20"/>
  <c r="D178" i="20"/>
  <c r="K177" i="20"/>
  <c r="K179" i="20" s="1"/>
  <c r="J177" i="20"/>
  <c r="J179" i="20" s="1"/>
  <c r="I177" i="20"/>
  <c r="I179" i="20" s="1"/>
  <c r="H177" i="20"/>
  <c r="G177" i="20"/>
  <c r="F177" i="20"/>
  <c r="F179" i="20" s="1"/>
  <c r="E177" i="20"/>
  <c r="D177" i="20"/>
  <c r="J137" i="20"/>
  <c r="I137" i="20"/>
  <c r="G137" i="20"/>
  <c r="F137" i="20"/>
  <c r="K136" i="20"/>
  <c r="J136" i="20"/>
  <c r="I136" i="20"/>
  <c r="H136" i="20"/>
  <c r="G136" i="20"/>
  <c r="F136" i="20"/>
  <c r="E136" i="20"/>
  <c r="D136" i="20"/>
  <c r="K135" i="20"/>
  <c r="K137" i="20" s="1"/>
  <c r="J135" i="20"/>
  <c r="I135" i="20"/>
  <c r="H135" i="20"/>
  <c r="H137" i="20" s="1"/>
  <c r="G135" i="20"/>
  <c r="F135" i="20"/>
  <c r="E135" i="20"/>
  <c r="E137" i="20" s="1"/>
  <c r="N136" i="20" s="1"/>
  <c r="T4" i="20" s="1"/>
  <c r="D135" i="20"/>
  <c r="D137" i="20" s="1"/>
  <c r="M136" i="20" s="1"/>
  <c r="S4" i="20" s="1"/>
  <c r="K95" i="20"/>
  <c r="I95" i="20"/>
  <c r="H95" i="20"/>
  <c r="D95" i="20"/>
  <c r="K94" i="20"/>
  <c r="J94" i="20"/>
  <c r="I94" i="20"/>
  <c r="H94" i="20"/>
  <c r="G94" i="20"/>
  <c r="F94" i="20"/>
  <c r="E94" i="20"/>
  <c r="D94" i="20"/>
  <c r="K93" i="20"/>
  <c r="J93" i="20"/>
  <c r="J95" i="20" s="1"/>
  <c r="I93" i="20"/>
  <c r="H93" i="20"/>
  <c r="G93" i="20"/>
  <c r="G95" i="20" s="1"/>
  <c r="F93" i="20"/>
  <c r="F95" i="20" s="1"/>
  <c r="E93" i="20"/>
  <c r="E95" i="20" s="1"/>
  <c r="N94" i="20" s="1"/>
  <c r="T3" i="20" s="1"/>
  <c r="D93" i="20"/>
  <c r="K53" i="20"/>
  <c r="J53" i="20"/>
  <c r="F53" i="20"/>
  <c r="E53" i="20"/>
  <c r="N52" i="20" s="1"/>
  <c r="T2" i="20" s="1"/>
  <c r="K52" i="20"/>
  <c r="J52" i="20"/>
  <c r="I52" i="20"/>
  <c r="H52" i="20"/>
  <c r="G52" i="20"/>
  <c r="F52" i="20"/>
  <c r="E52" i="20"/>
  <c r="D52" i="20"/>
  <c r="K51" i="20"/>
  <c r="J51" i="20"/>
  <c r="I51" i="20"/>
  <c r="I53" i="20" s="1"/>
  <c r="H51" i="20"/>
  <c r="H53" i="20" s="1"/>
  <c r="G51" i="20"/>
  <c r="G53" i="20" s="1"/>
  <c r="F51" i="20"/>
  <c r="E51" i="20"/>
  <c r="D51" i="20"/>
  <c r="D53" i="20" s="1"/>
  <c r="M52" i="20" s="1"/>
  <c r="S2" i="20" s="1"/>
  <c r="H515" i="19"/>
  <c r="E515" i="19"/>
  <c r="D515" i="19"/>
  <c r="K514" i="19"/>
  <c r="J514" i="19"/>
  <c r="I514" i="19"/>
  <c r="H514" i="19"/>
  <c r="G514" i="19"/>
  <c r="F514" i="19"/>
  <c r="E514" i="19"/>
  <c r="D514" i="19"/>
  <c r="K513" i="19"/>
  <c r="K515" i="19" s="1"/>
  <c r="J513" i="19"/>
  <c r="J515" i="19" s="1"/>
  <c r="I513" i="19"/>
  <c r="I515" i="19" s="1"/>
  <c r="H513" i="19"/>
  <c r="G513" i="19"/>
  <c r="G515" i="19" s="1"/>
  <c r="F513" i="19"/>
  <c r="F515" i="19" s="1"/>
  <c r="E513" i="19"/>
  <c r="D513" i="19"/>
  <c r="K473" i="19"/>
  <c r="J473" i="19"/>
  <c r="G473" i="19"/>
  <c r="F473" i="19"/>
  <c r="K472" i="19"/>
  <c r="J472" i="19"/>
  <c r="I472" i="19"/>
  <c r="H472" i="19"/>
  <c r="G472" i="19"/>
  <c r="F472" i="19"/>
  <c r="E472" i="19"/>
  <c r="D472" i="19"/>
  <c r="K471" i="19"/>
  <c r="J471" i="19"/>
  <c r="I471" i="19"/>
  <c r="I473" i="19" s="1"/>
  <c r="H471" i="19"/>
  <c r="H473" i="19" s="1"/>
  <c r="G471" i="19"/>
  <c r="F471" i="19"/>
  <c r="E471" i="19"/>
  <c r="E473" i="19" s="1"/>
  <c r="N472" i="19" s="1"/>
  <c r="T12" i="19" s="1"/>
  <c r="D471" i="19"/>
  <c r="D473" i="19" s="1"/>
  <c r="M472" i="19" s="1"/>
  <c r="S12" i="19" s="1"/>
  <c r="I431" i="19"/>
  <c r="H431" i="19"/>
  <c r="E431" i="19"/>
  <c r="D431" i="19"/>
  <c r="K430" i="19"/>
  <c r="J430" i="19"/>
  <c r="I430" i="19"/>
  <c r="H430" i="19"/>
  <c r="G430" i="19"/>
  <c r="F430" i="19"/>
  <c r="E430" i="19"/>
  <c r="D430" i="19"/>
  <c r="K429" i="19"/>
  <c r="K431" i="19" s="1"/>
  <c r="J429" i="19"/>
  <c r="J431" i="19" s="1"/>
  <c r="I429" i="19"/>
  <c r="H429" i="19"/>
  <c r="G429" i="19"/>
  <c r="G431" i="19" s="1"/>
  <c r="F429" i="19"/>
  <c r="F431" i="19" s="1"/>
  <c r="E429" i="19"/>
  <c r="D429" i="19"/>
  <c r="K389" i="19"/>
  <c r="J389" i="19"/>
  <c r="G389" i="19"/>
  <c r="F389" i="19"/>
  <c r="K388" i="19"/>
  <c r="J388" i="19"/>
  <c r="I388" i="19"/>
  <c r="H388" i="19"/>
  <c r="G388" i="19"/>
  <c r="F388" i="19"/>
  <c r="E388" i="19"/>
  <c r="D388" i="19"/>
  <c r="K387" i="19"/>
  <c r="J387" i="19"/>
  <c r="I387" i="19"/>
  <c r="I389" i="19" s="1"/>
  <c r="H387" i="19"/>
  <c r="H389" i="19" s="1"/>
  <c r="G387" i="19"/>
  <c r="F387" i="19"/>
  <c r="E387" i="19"/>
  <c r="E389" i="19" s="1"/>
  <c r="N388" i="19" s="1"/>
  <c r="T10" i="19" s="1"/>
  <c r="D387" i="19"/>
  <c r="D389" i="19" s="1"/>
  <c r="M388" i="19" s="1"/>
  <c r="S10" i="19" s="1"/>
  <c r="I347" i="19"/>
  <c r="K346" i="19"/>
  <c r="J346" i="19"/>
  <c r="I346" i="19"/>
  <c r="H346" i="19"/>
  <c r="G346" i="19"/>
  <c r="F346" i="19"/>
  <c r="E346" i="19"/>
  <c r="D346" i="19"/>
  <c r="K345" i="19"/>
  <c r="K347" i="19" s="1"/>
  <c r="J345" i="19"/>
  <c r="J347" i="19" s="1"/>
  <c r="I345" i="19"/>
  <c r="H345" i="19"/>
  <c r="H347" i="19" s="1"/>
  <c r="G345" i="19"/>
  <c r="F345" i="19"/>
  <c r="F347" i="19" s="1"/>
  <c r="E345" i="19"/>
  <c r="E347" i="19" s="1"/>
  <c r="D345" i="19"/>
  <c r="D347" i="19" s="1"/>
  <c r="F305" i="19"/>
  <c r="K304" i="19"/>
  <c r="J304" i="19"/>
  <c r="I304" i="19"/>
  <c r="H304" i="19"/>
  <c r="G304" i="19"/>
  <c r="F304" i="19"/>
  <c r="E304" i="19"/>
  <c r="D304" i="19"/>
  <c r="K303" i="19"/>
  <c r="K305" i="19" s="1"/>
  <c r="J303" i="19"/>
  <c r="J305" i="19" s="1"/>
  <c r="I303" i="19"/>
  <c r="H303" i="19"/>
  <c r="G303" i="19"/>
  <c r="G305" i="19" s="1"/>
  <c r="F303" i="19"/>
  <c r="E303" i="19"/>
  <c r="E305" i="19" s="1"/>
  <c r="D303" i="19"/>
  <c r="D305" i="19" s="1"/>
  <c r="H263" i="19"/>
  <c r="K262" i="19"/>
  <c r="J262" i="19"/>
  <c r="I262" i="19"/>
  <c r="H262" i="19"/>
  <c r="G262" i="19"/>
  <c r="F262" i="19"/>
  <c r="E262" i="19"/>
  <c r="D262" i="19"/>
  <c r="K261" i="19"/>
  <c r="K263" i="19" s="1"/>
  <c r="J261" i="19"/>
  <c r="I261" i="19"/>
  <c r="I263" i="19" s="1"/>
  <c r="H261" i="19"/>
  <c r="G261" i="19"/>
  <c r="G263" i="19" s="1"/>
  <c r="F261" i="19"/>
  <c r="F263" i="19" s="1"/>
  <c r="E261" i="19"/>
  <c r="E263" i="19" s="1"/>
  <c r="D261" i="19"/>
  <c r="D263" i="19" s="1"/>
  <c r="K221" i="19"/>
  <c r="J221" i="19"/>
  <c r="G221" i="19"/>
  <c r="F221" i="19"/>
  <c r="K220" i="19"/>
  <c r="J220" i="19"/>
  <c r="I220" i="19"/>
  <c r="H220" i="19"/>
  <c r="G220" i="19"/>
  <c r="F220" i="19"/>
  <c r="E220" i="19"/>
  <c r="D220" i="19"/>
  <c r="K219" i="19"/>
  <c r="J219" i="19"/>
  <c r="I219" i="19"/>
  <c r="I221" i="19" s="1"/>
  <c r="H219" i="19"/>
  <c r="H221" i="19" s="1"/>
  <c r="G219" i="19"/>
  <c r="F219" i="19"/>
  <c r="E219" i="19"/>
  <c r="E221" i="19" s="1"/>
  <c r="N220" i="19" s="1"/>
  <c r="T6" i="19" s="1"/>
  <c r="D219" i="19"/>
  <c r="D221" i="19" s="1"/>
  <c r="M220" i="19" s="1"/>
  <c r="S6" i="19" s="1"/>
  <c r="I179" i="19"/>
  <c r="H179" i="19"/>
  <c r="E179" i="19"/>
  <c r="D179" i="19"/>
  <c r="K178" i="19"/>
  <c r="J178" i="19"/>
  <c r="I178" i="19"/>
  <c r="H178" i="19"/>
  <c r="G178" i="19"/>
  <c r="F178" i="19"/>
  <c r="E178" i="19"/>
  <c r="D178" i="19"/>
  <c r="K177" i="19"/>
  <c r="K179" i="19" s="1"/>
  <c r="J177" i="19"/>
  <c r="J179" i="19" s="1"/>
  <c r="I177" i="19"/>
  <c r="H177" i="19"/>
  <c r="G177" i="19"/>
  <c r="G179" i="19" s="1"/>
  <c r="F177" i="19"/>
  <c r="F179" i="19" s="1"/>
  <c r="E177" i="19"/>
  <c r="D177" i="19"/>
  <c r="K137" i="19"/>
  <c r="J137" i="19"/>
  <c r="G137" i="19"/>
  <c r="F137" i="19"/>
  <c r="K136" i="19"/>
  <c r="J136" i="19"/>
  <c r="I136" i="19"/>
  <c r="H136" i="19"/>
  <c r="G136" i="19"/>
  <c r="F136" i="19"/>
  <c r="E136" i="19"/>
  <c r="D136" i="19"/>
  <c r="K135" i="19"/>
  <c r="J135" i="19"/>
  <c r="I135" i="19"/>
  <c r="I137" i="19" s="1"/>
  <c r="H135" i="19"/>
  <c r="H137" i="19" s="1"/>
  <c r="G135" i="19"/>
  <c r="F135" i="19"/>
  <c r="E135" i="19"/>
  <c r="E137" i="19" s="1"/>
  <c r="N136" i="19" s="1"/>
  <c r="T4" i="19" s="1"/>
  <c r="D135" i="19"/>
  <c r="D137" i="19" s="1"/>
  <c r="M136" i="19" s="1"/>
  <c r="S4" i="19" s="1"/>
  <c r="I95" i="19"/>
  <c r="H95" i="19"/>
  <c r="E95" i="19"/>
  <c r="D95" i="19"/>
  <c r="K94" i="19"/>
  <c r="J94" i="19"/>
  <c r="I94" i="19"/>
  <c r="H94" i="19"/>
  <c r="G94" i="19"/>
  <c r="F94" i="19"/>
  <c r="E94" i="19"/>
  <c r="D94" i="19"/>
  <c r="K93" i="19"/>
  <c r="K95" i="19" s="1"/>
  <c r="J93" i="19"/>
  <c r="J95" i="19" s="1"/>
  <c r="I93" i="19"/>
  <c r="H93" i="19"/>
  <c r="G93" i="19"/>
  <c r="G95" i="19" s="1"/>
  <c r="F93" i="19"/>
  <c r="F95" i="19" s="1"/>
  <c r="E93" i="19"/>
  <c r="D93" i="19"/>
  <c r="K53" i="19"/>
  <c r="J53" i="19"/>
  <c r="G53" i="19"/>
  <c r="F53" i="19"/>
  <c r="K52" i="19"/>
  <c r="J52" i="19"/>
  <c r="I52" i="19"/>
  <c r="H52" i="19"/>
  <c r="G52" i="19"/>
  <c r="F52" i="19"/>
  <c r="E52" i="19"/>
  <c r="D52" i="19"/>
  <c r="K51" i="19"/>
  <c r="J51" i="19"/>
  <c r="I51" i="19"/>
  <c r="I53" i="19" s="1"/>
  <c r="H51" i="19"/>
  <c r="H53" i="19" s="1"/>
  <c r="G51" i="19"/>
  <c r="F51" i="19"/>
  <c r="E51" i="19"/>
  <c r="E53" i="19" s="1"/>
  <c r="N52" i="19" s="1"/>
  <c r="T2" i="19" s="1"/>
  <c r="D51" i="19"/>
  <c r="D53" i="19" s="1"/>
  <c r="M52" i="19" s="1"/>
  <c r="S2" i="19" s="1"/>
  <c r="J515" i="18"/>
  <c r="F515" i="18"/>
  <c r="E515" i="18"/>
  <c r="D515" i="18"/>
  <c r="K514" i="18"/>
  <c r="J514" i="18"/>
  <c r="I514" i="18"/>
  <c r="H514" i="18"/>
  <c r="G514" i="18"/>
  <c r="F514" i="18"/>
  <c r="E514" i="18"/>
  <c r="D514" i="18"/>
  <c r="K513" i="18"/>
  <c r="K515" i="18" s="1"/>
  <c r="J513" i="18"/>
  <c r="I513" i="18"/>
  <c r="I515" i="18" s="1"/>
  <c r="H513" i="18"/>
  <c r="H515" i="18" s="1"/>
  <c r="G513" i="18"/>
  <c r="G515" i="18" s="1"/>
  <c r="F513" i="18"/>
  <c r="E513" i="18"/>
  <c r="D513" i="18"/>
  <c r="H473" i="18"/>
  <c r="G473" i="18"/>
  <c r="F473" i="18"/>
  <c r="D473" i="18"/>
  <c r="M472" i="18" s="1"/>
  <c r="S12" i="18" s="1"/>
  <c r="K472" i="18"/>
  <c r="J472" i="18"/>
  <c r="I472" i="18"/>
  <c r="H472" i="18"/>
  <c r="G472" i="18"/>
  <c r="F472" i="18"/>
  <c r="E472" i="18"/>
  <c r="D472" i="18"/>
  <c r="K471" i="18"/>
  <c r="K473" i="18" s="1"/>
  <c r="J471" i="18"/>
  <c r="J473" i="18" s="1"/>
  <c r="I471" i="18"/>
  <c r="I473" i="18" s="1"/>
  <c r="H471" i="18"/>
  <c r="G471" i="18"/>
  <c r="F471" i="18"/>
  <c r="E471" i="18"/>
  <c r="E473" i="18" s="1"/>
  <c r="N472" i="18" s="1"/>
  <c r="T12" i="18" s="1"/>
  <c r="D471" i="18"/>
  <c r="J431" i="18"/>
  <c r="I431" i="18"/>
  <c r="H431" i="18"/>
  <c r="F431" i="18"/>
  <c r="K430" i="18"/>
  <c r="J430" i="18"/>
  <c r="I430" i="18"/>
  <c r="H430" i="18"/>
  <c r="G430" i="18"/>
  <c r="F430" i="18"/>
  <c r="E430" i="18"/>
  <c r="D430" i="18"/>
  <c r="K429" i="18"/>
  <c r="K431" i="18" s="1"/>
  <c r="J429" i="18"/>
  <c r="I429" i="18"/>
  <c r="H429" i="18"/>
  <c r="G429" i="18"/>
  <c r="G431" i="18" s="1"/>
  <c r="F429" i="18"/>
  <c r="E429" i="18"/>
  <c r="E431" i="18" s="1"/>
  <c r="D429" i="18"/>
  <c r="D431" i="18" s="1"/>
  <c r="M430" i="18" s="1"/>
  <c r="S11" i="18" s="1"/>
  <c r="K389" i="18"/>
  <c r="J389" i="18"/>
  <c r="H389" i="18"/>
  <c r="D389" i="18"/>
  <c r="M388" i="18" s="1"/>
  <c r="S10" i="18" s="1"/>
  <c r="K388" i="18"/>
  <c r="J388" i="18"/>
  <c r="I388" i="18"/>
  <c r="H388" i="18"/>
  <c r="G388" i="18"/>
  <c r="F388" i="18"/>
  <c r="E388" i="18"/>
  <c r="D388" i="18"/>
  <c r="K387" i="18"/>
  <c r="J387" i="18"/>
  <c r="I387" i="18"/>
  <c r="I389" i="18" s="1"/>
  <c r="H387" i="18"/>
  <c r="G387" i="18"/>
  <c r="G389" i="18" s="1"/>
  <c r="F387" i="18"/>
  <c r="F389" i="18" s="1"/>
  <c r="E387" i="18"/>
  <c r="E389" i="18" s="1"/>
  <c r="N388" i="18" s="1"/>
  <c r="T10" i="18" s="1"/>
  <c r="D387" i="18"/>
  <c r="E347" i="18"/>
  <c r="K346" i="18"/>
  <c r="J346" i="18"/>
  <c r="I346" i="18"/>
  <c r="H346" i="18"/>
  <c r="G346" i="18"/>
  <c r="F346" i="18"/>
  <c r="E346" i="18"/>
  <c r="D346" i="18"/>
  <c r="K345" i="18"/>
  <c r="K347" i="18" s="1"/>
  <c r="J345" i="18"/>
  <c r="J347" i="18" s="1"/>
  <c r="I345" i="18"/>
  <c r="I347" i="18" s="1"/>
  <c r="H345" i="18"/>
  <c r="H347" i="18" s="1"/>
  <c r="G345" i="18"/>
  <c r="G347" i="18" s="1"/>
  <c r="F345" i="18"/>
  <c r="F347" i="18" s="1"/>
  <c r="E345" i="18"/>
  <c r="D345" i="18"/>
  <c r="D347" i="18" s="1"/>
  <c r="G305" i="18"/>
  <c r="K304" i="18"/>
  <c r="J304" i="18"/>
  <c r="I304" i="18"/>
  <c r="H304" i="18"/>
  <c r="G304" i="18"/>
  <c r="F304" i="18"/>
  <c r="E304" i="18"/>
  <c r="D304" i="18"/>
  <c r="K303" i="18"/>
  <c r="K305" i="18" s="1"/>
  <c r="J303" i="18"/>
  <c r="J305" i="18" s="1"/>
  <c r="I303" i="18"/>
  <c r="I305" i="18" s="1"/>
  <c r="H303" i="18"/>
  <c r="H305" i="18" s="1"/>
  <c r="G303" i="18"/>
  <c r="F303" i="18"/>
  <c r="F305" i="18" s="1"/>
  <c r="E303" i="18"/>
  <c r="E305" i="18" s="1"/>
  <c r="N304" i="18" s="1"/>
  <c r="T8" i="18" s="1"/>
  <c r="D303" i="18"/>
  <c r="D305" i="18" s="1"/>
  <c r="M304" i="18" s="1"/>
  <c r="S8" i="18" s="1"/>
  <c r="I263" i="18"/>
  <c r="K262" i="18"/>
  <c r="J262" i="18"/>
  <c r="I262" i="18"/>
  <c r="H262" i="18"/>
  <c r="G262" i="18"/>
  <c r="F262" i="18"/>
  <c r="E262" i="18"/>
  <c r="D262" i="18"/>
  <c r="K261" i="18"/>
  <c r="K263" i="18" s="1"/>
  <c r="J261" i="18"/>
  <c r="J263" i="18" s="1"/>
  <c r="I261" i="18"/>
  <c r="H261" i="18"/>
  <c r="H263" i="18" s="1"/>
  <c r="G261" i="18"/>
  <c r="G263" i="18" s="1"/>
  <c r="F261" i="18"/>
  <c r="F263" i="18" s="1"/>
  <c r="E261" i="18"/>
  <c r="E263" i="18" s="1"/>
  <c r="D261" i="18"/>
  <c r="D263" i="18" s="1"/>
  <c r="M262" i="18" s="1"/>
  <c r="S7" i="18" s="1"/>
  <c r="K221" i="18"/>
  <c r="K220" i="18"/>
  <c r="J220" i="18"/>
  <c r="I220" i="18"/>
  <c r="H220" i="18"/>
  <c r="G220" i="18"/>
  <c r="F220" i="18"/>
  <c r="E220" i="18"/>
  <c r="D220" i="18"/>
  <c r="K219" i="18"/>
  <c r="J219" i="18"/>
  <c r="J221" i="18" s="1"/>
  <c r="I219" i="18"/>
  <c r="I221" i="18" s="1"/>
  <c r="H219" i="18"/>
  <c r="H221" i="18" s="1"/>
  <c r="G219" i="18"/>
  <c r="G221" i="18" s="1"/>
  <c r="F219" i="18"/>
  <c r="F221" i="18" s="1"/>
  <c r="E219" i="18"/>
  <c r="E221" i="18" s="1"/>
  <c r="D219" i="18"/>
  <c r="D221" i="18" s="1"/>
  <c r="M220" i="18" s="1"/>
  <c r="S6" i="18" s="1"/>
  <c r="J179" i="18"/>
  <c r="K178" i="18"/>
  <c r="J178" i="18"/>
  <c r="I178" i="18"/>
  <c r="H178" i="18"/>
  <c r="G178" i="18"/>
  <c r="F178" i="18"/>
  <c r="E178" i="18"/>
  <c r="D178" i="18"/>
  <c r="K177" i="18"/>
  <c r="K179" i="18" s="1"/>
  <c r="J177" i="18"/>
  <c r="I177" i="18"/>
  <c r="I179" i="18" s="1"/>
  <c r="H177" i="18"/>
  <c r="H179" i="18" s="1"/>
  <c r="G177" i="18"/>
  <c r="G179" i="18" s="1"/>
  <c r="F177" i="18"/>
  <c r="F179" i="18" s="1"/>
  <c r="E177" i="18"/>
  <c r="E179" i="18" s="1"/>
  <c r="D177" i="18"/>
  <c r="D179" i="18" s="1"/>
  <c r="H137" i="18"/>
  <c r="G137" i="18"/>
  <c r="K136" i="18"/>
  <c r="J136" i="18"/>
  <c r="I136" i="18"/>
  <c r="H136" i="18"/>
  <c r="G136" i="18"/>
  <c r="F136" i="18"/>
  <c r="E136" i="18"/>
  <c r="D136" i="18"/>
  <c r="K135" i="18"/>
  <c r="K137" i="18" s="1"/>
  <c r="J135" i="18"/>
  <c r="J137" i="18" s="1"/>
  <c r="I135" i="18"/>
  <c r="I137" i="18" s="1"/>
  <c r="H135" i="18"/>
  <c r="G135" i="18"/>
  <c r="F135" i="18"/>
  <c r="F137" i="18" s="1"/>
  <c r="E135" i="18"/>
  <c r="E137" i="18" s="1"/>
  <c r="D135" i="18"/>
  <c r="D137" i="18" s="1"/>
  <c r="F95" i="18"/>
  <c r="K94" i="18"/>
  <c r="J94" i="18"/>
  <c r="I94" i="18"/>
  <c r="H94" i="18"/>
  <c r="G94" i="18"/>
  <c r="F94" i="18"/>
  <c r="E94" i="18"/>
  <c r="D94" i="18"/>
  <c r="K93" i="18"/>
  <c r="K95" i="18" s="1"/>
  <c r="J93" i="18"/>
  <c r="J95" i="18" s="1"/>
  <c r="I93" i="18"/>
  <c r="I95" i="18" s="1"/>
  <c r="H93" i="18"/>
  <c r="H95" i="18" s="1"/>
  <c r="G93" i="18"/>
  <c r="G95" i="18" s="1"/>
  <c r="F93" i="18"/>
  <c r="E93" i="18"/>
  <c r="D93" i="18"/>
  <c r="D95" i="18" s="1"/>
  <c r="H53" i="18"/>
  <c r="K52" i="18"/>
  <c r="J52" i="18"/>
  <c r="I52" i="18"/>
  <c r="H52" i="18"/>
  <c r="G52" i="18"/>
  <c r="F52" i="18"/>
  <c r="E52" i="18"/>
  <c r="D52" i="18"/>
  <c r="K51" i="18"/>
  <c r="K53" i="18" s="1"/>
  <c r="J51" i="18"/>
  <c r="J53" i="18" s="1"/>
  <c r="I51" i="18"/>
  <c r="I53" i="18" s="1"/>
  <c r="H51" i="18"/>
  <c r="G51" i="18"/>
  <c r="G53" i="18" s="1"/>
  <c r="F51" i="18"/>
  <c r="F53" i="18" s="1"/>
  <c r="E51" i="18"/>
  <c r="E53" i="18" s="1"/>
  <c r="D51" i="18"/>
  <c r="D53" i="18" s="1"/>
  <c r="K514" i="17"/>
  <c r="J514" i="17"/>
  <c r="I514" i="17"/>
  <c r="H514" i="17"/>
  <c r="G514" i="17"/>
  <c r="F514" i="17"/>
  <c r="E514" i="17"/>
  <c r="D514" i="17"/>
  <c r="K513" i="17"/>
  <c r="K515" i="17" s="1"/>
  <c r="J513" i="17"/>
  <c r="J515" i="17" s="1"/>
  <c r="I513" i="17"/>
  <c r="I515" i="17" s="1"/>
  <c r="H513" i="17"/>
  <c r="H515" i="17" s="1"/>
  <c r="G513" i="17"/>
  <c r="G515" i="17" s="1"/>
  <c r="F513" i="17"/>
  <c r="F515" i="17" s="1"/>
  <c r="E513" i="17"/>
  <c r="E515" i="17" s="1"/>
  <c r="N514" i="17" s="1"/>
  <c r="T13" i="17" s="1"/>
  <c r="D513" i="17"/>
  <c r="D515" i="17" s="1"/>
  <c r="M514" i="17" s="1"/>
  <c r="S13" i="17" s="1"/>
  <c r="K473" i="17"/>
  <c r="J473" i="17"/>
  <c r="E473" i="17"/>
  <c r="K472" i="17"/>
  <c r="J472" i="17"/>
  <c r="I472" i="17"/>
  <c r="H472" i="17"/>
  <c r="G472" i="17"/>
  <c r="F472" i="17"/>
  <c r="E472" i="17"/>
  <c r="D472" i="17"/>
  <c r="K471" i="17"/>
  <c r="J471" i="17"/>
  <c r="I471" i="17"/>
  <c r="I473" i="17" s="1"/>
  <c r="H471" i="17"/>
  <c r="H473" i="17" s="1"/>
  <c r="G471" i="17"/>
  <c r="G473" i="17" s="1"/>
  <c r="F471" i="17"/>
  <c r="F473" i="17" s="1"/>
  <c r="E471" i="17"/>
  <c r="D471" i="17"/>
  <c r="D473" i="17" s="1"/>
  <c r="G431" i="17"/>
  <c r="E431" i="17"/>
  <c r="D431" i="17"/>
  <c r="K430" i="17"/>
  <c r="J430" i="17"/>
  <c r="I430" i="17"/>
  <c r="H430" i="17"/>
  <c r="G430" i="17"/>
  <c r="F430" i="17"/>
  <c r="E430" i="17"/>
  <c r="D430" i="17"/>
  <c r="K429" i="17"/>
  <c r="K431" i="17" s="1"/>
  <c r="J429" i="17"/>
  <c r="J431" i="17" s="1"/>
  <c r="I429" i="17"/>
  <c r="I431" i="17" s="1"/>
  <c r="H429" i="17"/>
  <c r="H431" i="17" s="1"/>
  <c r="G429" i="17"/>
  <c r="F429" i="17"/>
  <c r="F431" i="17" s="1"/>
  <c r="E429" i="17"/>
  <c r="D429" i="17"/>
  <c r="I389" i="17"/>
  <c r="G389" i="17"/>
  <c r="K388" i="17"/>
  <c r="J388" i="17"/>
  <c r="I388" i="17"/>
  <c r="H388" i="17"/>
  <c r="G388" i="17"/>
  <c r="F388" i="17"/>
  <c r="E388" i="17"/>
  <c r="D388" i="17"/>
  <c r="K387" i="17"/>
  <c r="K389" i="17" s="1"/>
  <c r="J387" i="17"/>
  <c r="J389" i="17" s="1"/>
  <c r="I387" i="17"/>
  <c r="H387" i="17"/>
  <c r="H389" i="17" s="1"/>
  <c r="G387" i="17"/>
  <c r="F387" i="17"/>
  <c r="F389" i="17" s="1"/>
  <c r="E387" i="17"/>
  <c r="E389" i="17" s="1"/>
  <c r="N388" i="17" s="1"/>
  <c r="T10" i="17" s="1"/>
  <c r="D387" i="17"/>
  <c r="D389" i="17" s="1"/>
  <c r="K347" i="17"/>
  <c r="I347" i="17"/>
  <c r="K346" i="17"/>
  <c r="J346" i="17"/>
  <c r="I346" i="17"/>
  <c r="H346" i="17"/>
  <c r="G346" i="17"/>
  <c r="F346" i="17"/>
  <c r="E346" i="17"/>
  <c r="D346" i="17"/>
  <c r="K345" i="17"/>
  <c r="J345" i="17"/>
  <c r="J347" i="17" s="1"/>
  <c r="I345" i="17"/>
  <c r="H345" i="17"/>
  <c r="H347" i="17" s="1"/>
  <c r="G345" i="17"/>
  <c r="G347" i="17" s="1"/>
  <c r="F345" i="17"/>
  <c r="F347" i="17" s="1"/>
  <c r="E345" i="17"/>
  <c r="E347" i="17" s="1"/>
  <c r="N346" i="17" s="1"/>
  <c r="T9" i="17" s="1"/>
  <c r="D345" i="17"/>
  <c r="D347" i="17" s="1"/>
  <c r="K305" i="17"/>
  <c r="E305" i="17"/>
  <c r="N304" i="17" s="1"/>
  <c r="T8" i="17" s="1"/>
  <c r="K304" i="17"/>
  <c r="J304" i="17"/>
  <c r="I304" i="17"/>
  <c r="H304" i="17"/>
  <c r="G304" i="17"/>
  <c r="F304" i="17"/>
  <c r="E304" i="17"/>
  <c r="D304" i="17"/>
  <c r="K303" i="17"/>
  <c r="J303" i="17"/>
  <c r="J305" i="17" s="1"/>
  <c r="I303" i="17"/>
  <c r="I305" i="17" s="1"/>
  <c r="H303" i="17"/>
  <c r="H305" i="17" s="1"/>
  <c r="G303" i="17"/>
  <c r="G305" i="17" s="1"/>
  <c r="F303" i="17"/>
  <c r="F305" i="17" s="1"/>
  <c r="E303" i="17"/>
  <c r="D303" i="17"/>
  <c r="D305" i="17" s="1"/>
  <c r="M304" i="17" s="1"/>
  <c r="S8" i="17" s="1"/>
  <c r="G263" i="17"/>
  <c r="E263" i="17"/>
  <c r="K262" i="17"/>
  <c r="J262" i="17"/>
  <c r="I262" i="17"/>
  <c r="H262" i="17"/>
  <c r="G262" i="17"/>
  <c r="F262" i="17"/>
  <c r="E262" i="17"/>
  <c r="D262" i="17"/>
  <c r="K261" i="17"/>
  <c r="K263" i="17" s="1"/>
  <c r="J261" i="17"/>
  <c r="J263" i="17" s="1"/>
  <c r="I261" i="17"/>
  <c r="I263" i="17" s="1"/>
  <c r="H261" i="17"/>
  <c r="H263" i="17" s="1"/>
  <c r="G261" i="17"/>
  <c r="F261" i="17"/>
  <c r="F263" i="17" s="1"/>
  <c r="E261" i="17"/>
  <c r="D261" i="17"/>
  <c r="D263" i="17" s="1"/>
  <c r="I221" i="17"/>
  <c r="G221" i="17"/>
  <c r="K220" i="17"/>
  <c r="J220" i="17"/>
  <c r="I220" i="17"/>
  <c r="H220" i="17"/>
  <c r="G220" i="17"/>
  <c r="F220" i="17"/>
  <c r="E220" i="17"/>
  <c r="D220" i="17"/>
  <c r="K219" i="17"/>
  <c r="K221" i="17" s="1"/>
  <c r="J219" i="17"/>
  <c r="J221" i="17" s="1"/>
  <c r="I219" i="17"/>
  <c r="H219" i="17"/>
  <c r="H221" i="17" s="1"/>
  <c r="G219" i="17"/>
  <c r="F219" i="17"/>
  <c r="F221" i="17" s="1"/>
  <c r="E219" i="17"/>
  <c r="E221" i="17" s="1"/>
  <c r="D219" i="17"/>
  <c r="D221" i="17" s="1"/>
  <c r="K179" i="17"/>
  <c r="I179" i="17"/>
  <c r="K178" i="17"/>
  <c r="J178" i="17"/>
  <c r="I178" i="17"/>
  <c r="H178" i="17"/>
  <c r="G178" i="17"/>
  <c r="F178" i="17"/>
  <c r="E178" i="17"/>
  <c r="D178" i="17"/>
  <c r="K177" i="17"/>
  <c r="J177" i="17"/>
  <c r="J179" i="17" s="1"/>
  <c r="I177" i="17"/>
  <c r="H177" i="17"/>
  <c r="H179" i="17" s="1"/>
  <c r="G177" i="17"/>
  <c r="G179" i="17" s="1"/>
  <c r="F177" i="17"/>
  <c r="F179" i="17" s="1"/>
  <c r="E177" i="17"/>
  <c r="E179" i="17" s="1"/>
  <c r="N178" i="17" s="1"/>
  <c r="T5" i="17" s="1"/>
  <c r="D177" i="17"/>
  <c r="D179" i="17" s="1"/>
  <c r="M178" i="17" s="1"/>
  <c r="S5" i="17" s="1"/>
  <c r="K136" i="17"/>
  <c r="J136" i="17"/>
  <c r="I136" i="17"/>
  <c r="H136" i="17"/>
  <c r="G136" i="17"/>
  <c r="F136" i="17"/>
  <c r="E136" i="17"/>
  <c r="D136" i="17"/>
  <c r="K135" i="17"/>
  <c r="K137" i="17" s="1"/>
  <c r="J135" i="17"/>
  <c r="J137" i="17" s="1"/>
  <c r="I135" i="17"/>
  <c r="H135" i="17"/>
  <c r="G135" i="17"/>
  <c r="G137" i="17" s="1"/>
  <c r="F135" i="17"/>
  <c r="E135" i="17"/>
  <c r="E137" i="17" s="1"/>
  <c r="D135" i="17"/>
  <c r="D137" i="17" s="1"/>
  <c r="K94" i="17"/>
  <c r="J94" i="17"/>
  <c r="I94" i="17"/>
  <c r="H94" i="17"/>
  <c r="G94" i="17"/>
  <c r="F94" i="17"/>
  <c r="E94" i="17"/>
  <c r="D94" i="17"/>
  <c r="K93" i="17"/>
  <c r="K95" i="17" s="1"/>
  <c r="J93" i="17"/>
  <c r="J95" i="17" s="1"/>
  <c r="I93" i="17"/>
  <c r="H93" i="17"/>
  <c r="G93" i="17"/>
  <c r="G95" i="17" s="1"/>
  <c r="F93" i="17"/>
  <c r="E93" i="17"/>
  <c r="E95" i="17" s="1"/>
  <c r="D93" i="17"/>
  <c r="D95" i="17" s="1"/>
  <c r="K52" i="17"/>
  <c r="J52" i="17"/>
  <c r="I52" i="17"/>
  <c r="H52" i="17"/>
  <c r="G52" i="17"/>
  <c r="F52" i="17"/>
  <c r="E52" i="17"/>
  <c r="D52" i="17"/>
  <c r="K51" i="17"/>
  <c r="K53" i="17" s="1"/>
  <c r="J51" i="17"/>
  <c r="J53" i="17" s="1"/>
  <c r="I51" i="17"/>
  <c r="I53" i="17" s="1"/>
  <c r="H51" i="17"/>
  <c r="G51" i="17"/>
  <c r="F51" i="17"/>
  <c r="F53" i="17" s="1"/>
  <c r="E51" i="17"/>
  <c r="E53" i="17" s="1"/>
  <c r="D51" i="17"/>
  <c r="D53" i="17" s="1"/>
  <c r="K514" i="16"/>
  <c r="J514" i="16"/>
  <c r="I514" i="16"/>
  <c r="H514" i="16"/>
  <c r="G514" i="16"/>
  <c r="F514" i="16"/>
  <c r="E514" i="16"/>
  <c r="D514" i="16"/>
  <c r="K513" i="16"/>
  <c r="K515" i="16" s="1"/>
  <c r="J513" i="16"/>
  <c r="J515" i="16" s="1"/>
  <c r="I513" i="16"/>
  <c r="I515" i="16" s="1"/>
  <c r="H513" i="16"/>
  <c r="H515" i="16" s="1"/>
  <c r="G513" i="16"/>
  <c r="G515" i="16" s="1"/>
  <c r="F513" i="16"/>
  <c r="F515" i="16" s="1"/>
  <c r="E513" i="16"/>
  <c r="E515" i="16" s="1"/>
  <c r="D513" i="16"/>
  <c r="D515" i="16" s="1"/>
  <c r="K472" i="16"/>
  <c r="J472" i="16"/>
  <c r="I472" i="16"/>
  <c r="H472" i="16"/>
  <c r="G472" i="16"/>
  <c r="F472" i="16"/>
  <c r="E472" i="16"/>
  <c r="D472" i="16"/>
  <c r="K471" i="16"/>
  <c r="K473" i="16" s="1"/>
  <c r="J471" i="16"/>
  <c r="J473" i="16" s="1"/>
  <c r="I471" i="16"/>
  <c r="I473" i="16" s="1"/>
  <c r="H471" i="16"/>
  <c r="H473" i="16" s="1"/>
  <c r="G471" i="16"/>
  <c r="G473" i="16" s="1"/>
  <c r="F471" i="16"/>
  <c r="F473" i="16" s="1"/>
  <c r="E471" i="16"/>
  <c r="E473" i="16" s="1"/>
  <c r="D471" i="16"/>
  <c r="D473" i="16" s="1"/>
  <c r="K430" i="16"/>
  <c r="J430" i="16"/>
  <c r="I430" i="16"/>
  <c r="H430" i="16"/>
  <c r="G430" i="16"/>
  <c r="F430" i="16"/>
  <c r="E430" i="16"/>
  <c r="D430" i="16"/>
  <c r="K429" i="16"/>
  <c r="K431" i="16" s="1"/>
  <c r="J429" i="16"/>
  <c r="J431" i="16" s="1"/>
  <c r="I429" i="16"/>
  <c r="I431" i="16" s="1"/>
  <c r="H429" i="16"/>
  <c r="H431" i="16" s="1"/>
  <c r="G429" i="16"/>
  <c r="G431" i="16" s="1"/>
  <c r="F429" i="16"/>
  <c r="F431" i="16" s="1"/>
  <c r="E429" i="16"/>
  <c r="E431" i="16" s="1"/>
  <c r="N430" i="16" s="1"/>
  <c r="T11" i="16" s="1"/>
  <c r="D429" i="16"/>
  <c r="D431" i="16" s="1"/>
  <c r="M430" i="16" s="1"/>
  <c r="S11" i="16" s="1"/>
  <c r="K388" i="16"/>
  <c r="J388" i="16"/>
  <c r="I388" i="16"/>
  <c r="H388" i="16"/>
  <c r="G388" i="16"/>
  <c r="F388" i="16"/>
  <c r="E388" i="16"/>
  <c r="D388" i="16"/>
  <c r="K387" i="16"/>
  <c r="K389" i="16" s="1"/>
  <c r="J387" i="16"/>
  <c r="J389" i="16" s="1"/>
  <c r="I387" i="16"/>
  <c r="I389" i="16" s="1"/>
  <c r="H387" i="16"/>
  <c r="H389" i="16" s="1"/>
  <c r="G387" i="16"/>
  <c r="G389" i="16" s="1"/>
  <c r="F387" i="16"/>
  <c r="F389" i="16" s="1"/>
  <c r="E387" i="16"/>
  <c r="E389" i="16" s="1"/>
  <c r="D387" i="16"/>
  <c r="D389" i="16" s="1"/>
  <c r="M388" i="16" s="1"/>
  <c r="S10" i="16" s="1"/>
  <c r="K346" i="16"/>
  <c r="J346" i="16"/>
  <c r="I346" i="16"/>
  <c r="H346" i="16"/>
  <c r="G346" i="16"/>
  <c r="F346" i="16"/>
  <c r="E346" i="16"/>
  <c r="D346" i="16"/>
  <c r="K345" i="16"/>
  <c r="K347" i="16" s="1"/>
  <c r="J345" i="16"/>
  <c r="J347" i="16" s="1"/>
  <c r="I345" i="16"/>
  <c r="I347" i="16" s="1"/>
  <c r="H345" i="16"/>
  <c r="H347" i="16" s="1"/>
  <c r="G345" i="16"/>
  <c r="G347" i="16" s="1"/>
  <c r="F345" i="16"/>
  <c r="F347" i="16" s="1"/>
  <c r="E345" i="16"/>
  <c r="E347" i="16" s="1"/>
  <c r="D345" i="16"/>
  <c r="D347" i="16" s="1"/>
  <c r="K304" i="16"/>
  <c r="J304" i="16"/>
  <c r="I304" i="16"/>
  <c r="H304" i="16"/>
  <c r="G304" i="16"/>
  <c r="F304" i="16"/>
  <c r="E304" i="16"/>
  <c r="D304" i="16"/>
  <c r="K303" i="16"/>
  <c r="K305" i="16" s="1"/>
  <c r="J303" i="16"/>
  <c r="J305" i="16" s="1"/>
  <c r="I303" i="16"/>
  <c r="I305" i="16" s="1"/>
  <c r="H303" i="16"/>
  <c r="H305" i="16" s="1"/>
  <c r="G303" i="16"/>
  <c r="G305" i="16" s="1"/>
  <c r="F303" i="16"/>
  <c r="F305" i="16" s="1"/>
  <c r="E303" i="16"/>
  <c r="E305" i="16" s="1"/>
  <c r="N304" i="16" s="1"/>
  <c r="T8" i="16" s="1"/>
  <c r="D303" i="16"/>
  <c r="D305" i="16" s="1"/>
  <c r="K262" i="16"/>
  <c r="J262" i="16"/>
  <c r="I262" i="16"/>
  <c r="H262" i="16"/>
  <c r="G262" i="16"/>
  <c r="F262" i="16"/>
  <c r="E262" i="16"/>
  <c r="D262" i="16"/>
  <c r="K261" i="16"/>
  <c r="K263" i="16" s="1"/>
  <c r="J261" i="16"/>
  <c r="J263" i="16" s="1"/>
  <c r="I261" i="16"/>
  <c r="I263" i="16" s="1"/>
  <c r="H261" i="16"/>
  <c r="H263" i="16" s="1"/>
  <c r="G261" i="16"/>
  <c r="G263" i="16" s="1"/>
  <c r="F261" i="16"/>
  <c r="F263" i="16" s="1"/>
  <c r="E261" i="16"/>
  <c r="E263" i="16" s="1"/>
  <c r="N262" i="16" s="1"/>
  <c r="T7" i="16" s="1"/>
  <c r="D261" i="16"/>
  <c r="D263" i="16" s="1"/>
  <c r="M262" i="16" s="1"/>
  <c r="S7" i="16" s="1"/>
  <c r="K220" i="16"/>
  <c r="J220" i="16"/>
  <c r="I220" i="16"/>
  <c r="H220" i="16"/>
  <c r="G220" i="16"/>
  <c r="F220" i="16"/>
  <c r="E220" i="16"/>
  <c r="D220" i="16"/>
  <c r="K219" i="16"/>
  <c r="K221" i="16" s="1"/>
  <c r="J219" i="16"/>
  <c r="J221" i="16" s="1"/>
  <c r="I219" i="16"/>
  <c r="I221" i="16" s="1"/>
  <c r="H219" i="16"/>
  <c r="H221" i="16" s="1"/>
  <c r="G219" i="16"/>
  <c r="G221" i="16" s="1"/>
  <c r="F219" i="16"/>
  <c r="F221" i="16" s="1"/>
  <c r="E219" i="16"/>
  <c r="E221" i="16" s="1"/>
  <c r="N220" i="16" s="1"/>
  <c r="T6" i="16" s="1"/>
  <c r="D219" i="16"/>
  <c r="D221" i="16" s="1"/>
  <c r="M220" i="16" s="1"/>
  <c r="S6" i="16" s="1"/>
  <c r="K178" i="16"/>
  <c r="J178" i="16"/>
  <c r="I178" i="16"/>
  <c r="H178" i="16"/>
  <c r="G178" i="16"/>
  <c r="F178" i="16"/>
  <c r="E178" i="16"/>
  <c r="D178" i="16"/>
  <c r="K177" i="16"/>
  <c r="K179" i="16" s="1"/>
  <c r="J177" i="16"/>
  <c r="J179" i="16" s="1"/>
  <c r="I177" i="16"/>
  <c r="I179" i="16" s="1"/>
  <c r="H177" i="16"/>
  <c r="H179" i="16" s="1"/>
  <c r="G177" i="16"/>
  <c r="G179" i="16" s="1"/>
  <c r="F177" i="16"/>
  <c r="F179" i="16" s="1"/>
  <c r="E177" i="16"/>
  <c r="E179" i="16" s="1"/>
  <c r="D177" i="16"/>
  <c r="D179" i="16" s="1"/>
  <c r="K136" i="16"/>
  <c r="J136" i="16"/>
  <c r="I136" i="16"/>
  <c r="H136" i="16"/>
  <c r="G136" i="16"/>
  <c r="F136" i="16"/>
  <c r="E136" i="16"/>
  <c r="D136" i="16"/>
  <c r="K135" i="16"/>
  <c r="K137" i="16" s="1"/>
  <c r="J135" i="16"/>
  <c r="J137" i="16" s="1"/>
  <c r="I135" i="16"/>
  <c r="I137" i="16" s="1"/>
  <c r="H135" i="16"/>
  <c r="H137" i="16" s="1"/>
  <c r="G135" i="16"/>
  <c r="G137" i="16" s="1"/>
  <c r="F135" i="16"/>
  <c r="F137" i="16" s="1"/>
  <c r="E135" i="16"/>
  <c r="E137" i="16" s="1"/>
  <c r="D135" i="16"/>
  <c r="D137" i="16" s="1"/>
  <c r="K94" i="16"/>
  <c r="J94" i="16"/>
  <c r="I94" i="16"/>
  <c r="H94" i="16"/>
  <c r="G94" i="16"/>
  <c r="F94" i="16"/>
  <c r="E94" i="16"/>
  <c r="D94" i="16"/>
  <c r="K93" i="16"/>
  <c r="K95" i="16" s="1"/>
  <c r="J93" i="16"/>
  <c r="J95" i="16" s="1"/>
  <c r="I93" i="16"/>
  <c r="I95" i="16" s="1"/>
  <c r="H93" i="16"/>
  <c r="H95" i="16" s="1"/>
  <c r="G93" i="16"/>
  <c r="G95" i="16" s="1"/>
  <c r="F93" i="16"/>
  <c r="F95" i="16" s="1"/>
  <c r="E93" i="16"/>
  <c r="E95" i="16" s="1"/>
  <c r="N94" i="16" s="1"/>
  <c r="T3" i="16" s="1"/>
  <c r="D93" i="16"/>
  <c r="D95" i="16" s="1"/>
  <c r="M94" i="16" s="1"/>
  <c r="S3" i="16" s="1"/>
  <c r="K52" i="16"/>
  <c r="J52" i="16"/>
  <c r="I52" i="16"/>
  <c r="H52" i="16"/>
  <c r="G52" i="16"/>
  <c r="F52" i="16"/>
  <c r="E52" i="16"/>
  <c r="D52" i="16"/>
  <c r="K51" i="16"/>
  <c r="K53" i="16" s="1"/>
  <c r="J51" i="16"/>
  <c r="J53" i="16" s="1"/>
  <c r="I51" i="16"/>
  <c r="I53" i="16" s="1"/>
  <c r="H51" i="16"/>
  <c r="H53" i="16" s="1"/>
  <c r="G51" i="16"/>
  <c r="G53" i="16" s="1"/>
  <c r="F51" i="16"/>
  <c r="F53" i="16" s="1"/>
  <c r="E51" i="16"/>
  <c r="E53" i="16" s="1"/>
  <c r="D51" i="16"/>
  <c r="D53" i="16" s="1"/>
  <c r="M52" i="16" s="1"/>
  <c r="S2" i="16" s="1"/>
  <c r="I515" i="15"/>
  <c r="H515" i="15"/>
  <c r="E515" i="15"/>
  <c r="D515" i="15"/>
  <c r="K514" i="15"/>
  <c r="J514" i="15"/>
  <c r="I514" i="15"/>
  <c r="H514" i="15"/>
  <c r="G514" i="15"/>
  <c r="F514" i="15"/>
  <c r="E514" i="15"/>
  <c r="D514" i="15"/>
  <c r="K513" i="15"/>
  <c r="K515" i="15" s="1"/>
  <c r="J513" i="15"/>
  <c r="J515" i="15" s="1"/>
  <c r="I513" i="15"/>
  <c r="H513" i="15"/>
  <c r="G513" i="15"/>
  <c r="G515" i="15" s="1"/>
  <c r="F513" i="15"/>
  <c r="F515" i="15" s="1"/>
  <c r="E513" i="15"/>
  <c r="D513" i="15"/>
  <c r="K473" i="15"/>
  <c r="J473" i="15"/>
  <c r="G473" i="15"/>
  <c r="F473" i="15"/>
  <c r="K472" i="15"/>
  <c r="J472" i="15"/>
  <c r="I472" i="15"/>
  <c r="H472" i="15"/>
  <c r="G472" i="15"/>
  <c r="F472" i="15"/>
  <c r="E472" i="15"/>
  <c r="D472" i="15"/>
  <c r="K471" i="15"/>
  <c r="J471" i="15"/>
  <c r="I471" i="15"/>
  <c r="I473" i="15" s="1"/>
  <c r="H471" i="15"/>
  <c r="H473" i="15" s="1"/>
  <c r="G471" i="15"/>
  <c r="F471" i="15"/>
  <c r="E471" i="15"/>
  <c r="E473" i="15" s="1"/>
  <c r="N472" i="15" s="1"/>
  <c r="T12" i="15" s="1"/>
  <c r="D471" i="15"/>
  <c r="D473" i="15" s="1"/>
  <c r="M472" i="15" s="1"/>
  <c r="S12" i="15" s="1"/>
  <c r="I431" i="15"/>
  <c r="H431" i="15"/>
  <c r="E431" i="15"/>
  <c r="D431" i="15"/>
  <c r="K430" i="15"/>
  <c r="J430" i="15"/>
  <c r="I430" i="15"/>
  <c r="H430" i="15"/>
  <c r="G430" i="15"/>
  <c r="F430" i="15"/>
  <c r="E430" i="15"/>
  <c r="D430" i="15"/>
  <c r="K429" i="15"/>
  <c r="K431" i="15" s="1"/>
  <c r="J429" i="15"/>
  <c r="J431" i="15" s="1"/>
  <c r="I429" i="15"/>
  <c r="H429" i="15"/>
  <c r="G429" i="15"/>
  <c r="G431" i="15" s="1"/>
  <c r="F429" i="15"/>
  <c r="F431" i="15" s="1"/>
  <c r="E429" i="15"/>
  <c r="D429" i="15"/>
  <c r="K389" i="15"/>
  <c r="J389" i="15"/>
  <c r="G389" i="15"/>
  <c r="F389" i="15"/>
  <c r="K388" i="15"/>
  <c r="J388" i="15"/>
  <c r="I388" i="15"/>
  <c r="H388" i="15"/>
  <c r="G388" i="15"/>
  <c r="F388" i="15"/>
  <c r="E388" i="15"/>
  <c r="D388" i="15"/>
  <c r="K387" i="15"/>
  <c r="J387" i="15"/>
  <c r="I387" i="15"/>
  <c r="I389" i="15" s="1"/>
  <c r="H387" i="15"/>
  <c r="H389" i="15" s="1"/>
  <c r="G387" i="15"/>
  <c r="F387" i="15"/>
  <c r="E387" i="15"/>
  <c r="E389" i="15" s="1"/>
  <c r="N388" i="15" s="1"/>
  <c r="T10" i="15" s="1"/>
  <c r="D387" i="15"/>
  <c r="D389" i="15" s="1"/>
  <c r="M388" i="15" s="1"/>
  <c r="S10" i="15" s="1"/>
  <c r="I347" i="15"/>
  <c r="E347" i="15"/>
  <c r="K346" i="15"/>
  <c r="J346" i="15"/>
  <c r="I346" i="15"/>
  <c r="H346" i="15"/>
  <c r="G346" i="15"/>
  <c r="F346" i="15"/>
  <c r="E346" i="15"/>
  <c r="D346" i="15"/>
  <c r="K345" i="15"/>
  <c r="K347" i="15" s="1"/>
  <c r="J345" i="15"/>
  <c r="J347" i="15" s="1"/>
  <c r="I345" i="15"/>
  <c r="H345" i="15"/>
  <c r="H347" i="15" s="1"/>
  <c r="G345" i="15"/>
  <c r="G347" i="15" s="1"/>
  <c r="F345" i="15"/>
  <c r="F347" i="15" s="1"/>
  <c r="E345" i="15"/>
  <c r="D345" i="15"/>
  <c r="D347" i="15" s="1"/>
  <c r="K305" i="15"/>
  <c r="G305" i="15"/>
  <c r="K304" i="15"/>
  <c r="J304" i="15"/>
  <c r="I304" i="15"/>
  <c r="H304" i="15"/>
  <c r="G304" i="15"/>
  <c r="F304" i="15"/>
  <c r="E304" i="15"/>
  <c r="D304" i="15"/>
  <c r="K303" i="15"/>
  <c r="J303" i="15"/>
  <c r="J305" i="15" s="1"/>
  <c r="I303" i="15"/>
  <c r="I305" i="15" s="1"/>
  <c r="H303" i="15"/>
  <c r="H305" i="15" s="1"/>
  <c r="G303" i="15"/>
  <c r="F303" i="15"/>
  <c r="F305" i="15" s="1"/>
  <c r="E303" i="15"/>
  <c r="E305" i="15" s="1"/>
  <c r="N304" i="15" s="1"/>
  <c r="T8" i="15" s="1"/>
  <c r="D303" i="15"/>
  <c r="D305" i="15" s="1"/>
  <c r="M304" i="15" s="1"/>
  <c r="S8" i="15" s="1"/>
  <c r="I263" i="15"/>
  <c r="E263" i="15"/>
  <c r="K262" i="15"/>
  <c r="J262" i="15"/>
  <c r="I262" i="15"/>
  <c r="H262" i="15"/>
  <c r="G262" i="15"/>
  <c r="F262" i="15"/>
  <c r="E262" i="15"/>
  <c r="D262" i="15"/>
  <c r="K261" i="15"/>
  <c r="K263" i="15" s="1"/>
  <c r="J261" i="15"/>
  <c r="J263" i="15" s="1"/>
  <c r="I261" i="15"/>
  <c r="H261" i="15"/>
  <c r="H263" i="15" s="1"/>
  <c r="G261" i="15"/>
  <c r="G263" i="15" s="1"/>
  <c r="F261" i="15"/>
  <c r="F263" i="15" s="1"/>
  <c r="E261" i="15"/>
  <c r="D261" i="15"/>
  <c r="D263" i="15" s="1"/>
  <c r="K221" i="15"/>
  <c r="G221" i="15"/>
  <c r="K220" i="15"/>
  <c r="J220" i="15"/>
  <c r="I220" i="15"/>
  <c r="H220" i="15"/>
  <c r="G220" i="15"/>
  <c r="F220" i="15"/>
  <c r="E220" i="15"/>
  <c r="D220" i="15"/>
  <c r="K219" i="15"/>
  <c r="J219" i="15"/>
  <c r="J221" i="15" s="1"/>
  <c r="I219" i="15"/>
  <c r="I221" i="15" s="1"/>
  <c r="H219" i="15"/>
  <c r="H221" i="15" s="1"/>
  <c r="G219" i="15"/>
  <c r="F219" i="15"/>
  <c r="F221" i="15" s="1"/>
  <c r="E219" i="15"/>
  <c r="E221" i="15" s="1"/>
  <c r="N220" i="15" s="1"/>
  <c r="T6" i="15" s="1"/>
  <c r="D219" i="15"/>
  <c r="D221" i="15" s="1"/>
  <c r="M220" i="15" s="1"/>
  <c r="S6" i="15" s="1"/>
  <c r="I179" i="15"/>
  <c r="E179" i="15"/>
  <c r="K178" i="15"/>
  <c r="J178" i="15"/>
  <c r="I178" i="15"/>
  <c r="H178" i="15"/>
  <c r="G178" i="15"/>
  <c r="F178" i="15"/>
  <c r="E178" i="15"/>
  <c r="D178" i="15"/>
  <c r="K177" i="15"/>
  <c r="K179" i="15" s="1"/>
  <c r="J177" i="15"/>
  <c r="J179" i="15" s="1"/>
  <c r="I177" i="15"/>
  <c r="H177" i="15"/>
  <c r="H179" i="15" s="1"/>
  <c r="G177" i="15"/>
  <c r="G179" i="15" s="1"/>
  <c r="F177" i="15"/>
  <c r="F179" i="15" s="1"/>
  <c r="E177" i="15"/>
  <c r="D177" i="15"/>
  <c r="D179" i="15" s="1"/>
  <c r="K137" i="15"/>
  <c r="J137" i="15"/>
  <c r="G137" i="15"/>
  <c r="F137" i="15"/>
  <c r="K136" i="15"/>
  <c r="J136" i="15"/>
  <c r="I136" i="15"/>
  <c r="H136" i="15"/>
  <c r="G136" i="15"/>
  <c r="F136" i="15"/>
  <c r="E136" i="15"/>
  <c r="D136" i="15"/>
  <c r="K135" i="15"/>
  <c r="J135" i="15"/>
  <c r="I135" i="15"/>
  <c r="I137" i="15" s="1"/>
  <c r="H135" i="15"/>
  <c r="H137" i="15" s="1"/>
  <c r="G135" i="15"/>
  <c r="F135" i="15"/>
  <c r="E135" i="15"/>
  <c r="E137" i="15" s="1"/>
  <c r="N136" i="15" s="1"/>
  <c r="T4" i="15" s="1"/>
  <c r="D135" i="15"/>
  <c r="D137" i="15" s="1"/>
  <c r="M136" i="15" s="1"/>
  <c r="S4" i="15" s="1"/>
  <c r="I95" i="15"/>
  <c r="E95" i="15"/>
  <c r="K94" i="15"/>
  <c r="J94" i="15"/>
  <c r="I94" i="15"/>
  <c r="H94" i="15"/>
  <c r="G94" i="15"/>
  <c r="F94" i="15"/>
  <c r="E94" i="15"/>
  <c r="D94" i="15"/>
  <c r="K93" i="15"/>
  <c r="K95" i="15" s="1"/>
  <c r="J93" i="15"/>
  <c r="J95" i="15" s="1"/>
  <c r="I93" i="15"/>
  <c r="H93" i="15"/>
  <c r="H95" i="15" s="1"/>
  <c r="G93" i="15"/>
  <c r="G95" i="15" s="1"/>
  <c r="F93" i="15"/>
  <c r="F95" i="15" s="1"/>
  <c r="E93" i="15"/>
  <c r="D93" i="15"/>
  <c r="D95" i="15" s="1"/>
  <c r="K53" i="15"/>
  <c r="G53" i="15"/>
  <c r="K52" i="15"/>
  <c r="J52" i="15"/>
  <c r="I52" i="15"/>
  <c r="H52" i="15"/>
  <c r="G52" i="15"/>
  <c r="F52" i="15"/>
  <c r="E52" i="15"/>
  <c r="D52" i="15"/>
  <c r="K51" i="15"/>
  <c r="J51" i="15"/>
  <c r="J53" i="15" s="1"/>
  <c r="I51" i="15"/>
  <c r="I53" i="15" s="1"/>
  <c r="H51" i="15"/>
  <c r="H53" i="15" s="1"/>
  <c r="G51" i="15"/>
  <c r="F51" i="15"/>
  <c r="F53" i="15" s="1"/>
  <c r="E51" i="15"/>
  <c r="E53" i="15" s="1"/>
  <c r="N52" i="15" s="1"/>
  <c r="T2" i="15" s="1"/>
  <c r="D51" i="15"/>
  <c r="D53" i="15" s="1"/>
  <c r="M52" i="15" s="1"/>
  <c r="S2" i="15" s="1"/>
  <c r="E515" i="11"/>
  <c r="D515" i="11"/>
  <c r="K514" i="11"/>
  <c r="J514" i="11"/>
  <c r="I514" i="11"/>
  <c r="H514" i="11"/>
  <c r="G514" i="11"/>
  <c r="F514" i="11"/>
  <c r="E514" i="11"/>
  <c r="D514" i="11"/>
  <c r="K513" i="11"/>
  <c r="K515" i="11" s="1"/>
  <c r="J513" i="11"/>
  <c r="J515" i="11" s="1"/>
  <c r="I513" i="11"/>
  <c r="I515" i="11" s="1"/>
  <c r="H513" i="11"/>
  <c r="H515" i="11" s="1"/>
  <c r="G513" i="11"/>
  <c r="G515" i="11" s="1"/>
  <c r="F513" i="11"/>
  <c r="F515" i="11" s="1"/>
  <c r="E513" i="11"/>
  <c r="D513" i="11"/>
  <c r="G473" i="11"/>
  <c r="F473" i="11"/>
  <c r="K472" i="11"/>
  <c r="J472" i="11"/>
  <c r="I472" i="11"/>
  <c r="H472" i="11"/>
  <c r="G472" i="11"/>
  <c r="F472" i="11"/>
  <c r="E472" i="11"/>
  <c r="D472" i="11"/>
  <c r="K471" i="11"/>
  <c r="K473" i="11" s="1"/>
  <c r="J471" i="11"/>
  <c r="J473" i="11" s="1"/>
  <c r="I471" i="11"/>
  <c r="I473" i="11" s="1"/>
  <c r="H471" i="11"/>
  <c r="H473" i="11" s="1"/>
  <c r="G471" i="11"/>
  <c r="F471" i="11"/>
  <c r="E471" i="11"/>
  <c r="E473" i="11" s="1"/>
  <c r="D471" i="11"/>
  <c r="D473" i="11" s="1"/>
  <c r="I431" i="11"/>
  <c r="H431" i="11"/>
  <c r="K430" i="11"/>
  <c r="J430" i="11"/>
  <c r="I430" i="11"/>
  <c r="H430" i="11"/>
  <c r="G430" i="11"/>
  <c r="F430" i="11"/>
  <c r="E430" i="11"/>
  <c r="D430" i="11"/>
  <c r="K429" i="11"/>
  <c r="K431" i="11" s="1"/>
  <c r="J429" i="11"/>
  <c r="J431" i="11" s="1"/>
  <c r="I429" i="11"/>
  <c r="H429" i="11"/>
  <c r="G429" i="11"/>
  <c r="G431" i="11" s="1"/>
  <c r="F429" i="11"/>
  <c r="F431" i="11" s="1"/>
  <c r="E429" i="11"/>
  <c r="E431" i="11" s="1"/>
  <c r="D429" i="11"/>
  <c r="D431" i="11" s="1"/>
  <c r="K389" i="11"/>
  <c r="J389" i="11"/>
  <c r="K388" i="11"/>
  <c r="J388" i="11"/>
  <c r="I388" i="11"/>
  <c r="H388" i="11"/>
  <c r="G388" i="11"/>
  <c r="F388" i="11"/>
  <c r="E388" i="11"/>
  <c r="D388" i="11"/>
  <c r="K387" i="11"/>
  <c r="J387" i="11"/>
  <c r="I387" i="11"/>
  <c r="I389" i="11" s="1"/>
  <c r="H387" i="11"/>
  <c r="H389" i="11" s="1"/>
  <c r="G387" i="11"/>
  <c r="G389" i="11" s="1"/>
  <c r="F387" i="11"/>
  <c r="F389" i="11" s="1"/>
  <c r="E387" i="11"/>
  <c r="E389" i="11" s="1"/>
  <c r="N388" i="11" s="1"/>
  <c r="T10" i="11" s="1"/>
  <c r="D387" i="11"/>
  <c r="D389" i="11" s="1"/>
  <c r="M388" i="11" s="1"/>
  <c r="S10" i="11" s="1"/>
  <c r="E347" i="11"/>
  <c r="K346" i="11"/>
  <c r="J346" i="11"/>
  <c r="I346" i="11"/>
  <c r="H346" i="11"/>
  <c r="G346" i="11"/>
  <c r="F346" i="11"/>
  <c r="E346" i="11"/>
  <c r="D346" i="11"/>
  <c r="K345" i="11"/>
  <c r="K347" i="11" s="1"/>
  <c r="J345" i="11"/>
  <c r="J347" i="11" s="1"/>
  <c r="I345" i="11"/>
  <c r="I347" i="11" s="1"/>
  <c r="H345" i="11"/>
  <c r="H347" i="11" s="1"/>
  <c r="G345" i="11"/>
  <c r="G347" i="11" s="1"/>
  <c r="F345" i="11"/>
  <c r="F347" i="11" s="1"/>
  <c r="E345" i="11"/>
  <c r="D345" i="11"/>
  <c r="D347" i="11" s="1"/>
  <c r="G305" i="11"/>
  <c r="K304" i="11"/>
  <c r="J304" i="11"/>
  <c r="I304" i="11"/>
  <c r="H304" i="11"/>
  <c r="G304" i="11"/>
  <c r="F304" i="11"/>
  <c r="E304" i="11"/>
  <c r="D304" i="11"/>
  <c r="K303" i="11"/>
  <c r="K305" i="11" s="1"/>
  <c r="J303" i="11"/>
  <c r="J305" i="11" s="1"/>
  <c r="I303" i="11"/>
  <c r="I305" i="11" s="1"/>
  <c r="H303" i="11"/>
  <c r="H305" i="11" s="1"/>
  <c r="G303" i="11"/>
  <c r="F303" i="11"/>
  <c r="F305" i="11" s="1"/>
  <c r="E303" i="11"/>
  <c r="E305" i="11" s="1"/>
  <c r="D303" i="11"/>
  <c r="D305" i="11" s="1"/>
  <c r="I263" i="11"/>
  <c r="K262" i="11"/>
  <c r="J262" i="11"/>
  <c r="I262" i="11"/>
  <c r="H262" i="11"/>
  <c r="G262" i="11"/>
  <c r="F262" i="11"/>
  <c r="E262" i="11"/>
  <c r="D262" i="11"/>
  <c r="K261" i="11"/>
  <c r="K263" i="11" s="1"/>
  <c r="J261" i="11"/>
  <c r="J263" i="11" s="1"/>
  <c r="I261" i="11"/>
  <c r="H261" i="11"/>
  <c r="H263" i="11" s="1"/>
  <c r="G261" i="11"/>
  <c r="G263" i="11" s="1"/>
  <c r="F261" i="11"/>
  <c r="F263" i="11" s="1"/>
  <c r="E261" i="11"/>
  <c r="E263" i="11" s="1"/>
  <c r="D261" i="11"/>
  <c r="D263" i="11" s="1"/>
  <c r="K221" i="11"/>
  <c r="K220" i="11"/>
  <c r="J220" i="11"/>
  <c r="I220" i="11"/>
  <c r="H220" i="11"/>
  <c r="G220" i="11"/>
  <c r="F220" i="11"/>
  <c r="E220" i="11"/>
  <c r="D220" i="11"/>
  <c r="K219" i="11"/>
  <c r="J219" i="11"/>
  <c r="J221" i="11" s="1"/>
  <c r="I219" i="11"/>
  <c r="I221" i="11" s="1"/>
  <c r="H219" i="11"/>
  <c r="H221" i="11" s="1"/>
  <c r="G219" i="11"/>
  <c r="G221" i="11" s="1"/>
  <c r="F219" i="11"/>
  <c r="F221" i="11" s="1"/>
  <c r="E219" i="11"/>
  <c r="E221" i="11" s="1"/>
  <c r="N220" i="11" s="1"/>
  <c r="T6" i="11" s="1"/>
  <c r="D219" i="11"/>
  <c r="D221" i="11" s="1"/>
  <c r="M220" i="11" s="1"/>
  <c r="S6" i="11" s="1"/>
  <c r="E179" i="11"/>
  <c r="K178" i="11"/>
  <c r="J178" i="11"/>
  <c r="I178" i="11"/>
  <c r="H178" i="11"/>
  <c r="G178" i="11"/>
  <c r="F178" i="11"/>
  <c r="E178" i="11"/>
  <c r="D178" i="11"/>
  <c r="K177" i="11"/>
  <c r="K179" i="11" s="1"/>
  <c r="J177" i="11"/>
  <c r="J179" i="11" s="1"/>
  <c r="I177" i="11"/>
  <c r="I179" i="11" s="1"/>
  <c r="H177" i="11"/>
  <c r="H179" i="11" s="1"/>
  <c r="G177" i="11"/>
  <c r="G179" i="11" s="1"/>
  <c r="F177" i="11"/>
  <c r="F179" i="11" s="1"/>
  <c r="E177" i="11"/>
  <c r="D177" i="11"/>
  <c r="D179" i="11" s="1"/>
  <c r="G137" i="11"/>
  <c r="F137" i="11"/>
  <c r="K136" i="11"/>
  <c r="J136" i="11"/>
  <c r="I136" i="11"/>
  <c r="H136" i="11"/>
  <c r="G136" i="11"/>
  <c r="F136" i="11"/>
  <c r="E136" i="11"/>
  <c r="D136" i="11"/>
  <c r="K135" i="11"/>
  <c r="K137" i="11" s="1"/>
  <c r="J135" i="11"/>
  <c r="J137" i="11" s="1"/>
  <c r="I135" i="11"/>
  <c r="I137" i="11" s="1"/>
  <c r="H135" i="11"/>
  <c r="H137" i="11" s="1"/>
  <c r="G135" i="11"/>
  <c r="F135" i="11"/>
  <c r="E135" i="11"/>
  <c r="E137" i="11" s="1"/>
  <c r="D135" i="11"/>
  <c r="D137" i="11" s="1"/>
  <c r="I95" i="11"/>
  <c r="K94" i="11"/>
  <c r="J94" i="11"/>
  <c r="I94" i="11"/>
  <c r="H94" i="11"/>
  <c r="G94" i="11"/>
  <c r="F94" i="11"/>
  <c r="E94" i="11"/>
  <c r="D94" i="11"/>
  <c r="K93" i="11"/>
  <c r="K95" i="11" s="1"/>
  <c r="J93" i="11"/>
  <c r="J95" i="11" s="1"/>
  <c r="I93" i="11"/>
  <c r="H93" i="11"/>
  <c r="H95" i="11" s="1"/>
  <c r="G93" i="11"/>
  <c r="G95" i="11" s="1"/>
  <c r="F93" i="11"/>
  <c r="F95" i="11" s="1"/>
  <c r="E93" i="11"/>
  <c r="E95" i="11" s="1"/>
  <c r="D93" i="11"/>
  <c r="D95" i="11" s="1"/>
  <c r="K53" i="11"/>
  <c r="K52" i="11"/>
  <c r="J52" i="11"/>
  <c r="I52" i="11"/>
  <c r="H52" i="11"/>
  <c r="G52" i="11"/>
  <c r="F52" i="11"/>
  <c r="E52" i="11"/>
  <c r="D52" i="11"/>
  <c r="K51" i="11"/>
  <c r="J51" i="11"/>
  <c r="J53" i="11" s="1"/>
  <c r="I51" i="11"/>
  <c r="I53" i="11" s="1"/>
  <c r="H51" i="11"/>
  <c r="H53" i="11" s="1"/>
  <c r="G51" i="11"/>
  <c r="G53" i="11" s="1"/>
  <c r="F51" i="11"/>
  <c r="F53" i="11" s="1"/>
  <c r="E51" i="11"/>
  <c r="E53" i="11" s="1"/>
  <c r="N52" i="11" s="1"/>
  <c r="T2" i="11" s="1"/>
  <c r="D51" i="11"/>
  <c r="D53" i="11" s="1"/>
  <c r="M52" i="11" s="1"/>
  <c r="S2" i="11" s="1"/>
  <c r="T13" i="3"/>
  <c r="T12" i="3"/>
  <c r="S13" i="3"/>
  <c r="S12" i="3"/>
  <c r="D515" i="3"/>
  <c r="K514" i="3"/>
  <c r="J514" i="3"/>
  <c r="I514" i="3"/>
  <c r="H514" i="3"/>
  <c r="G514" i="3"/>
  <c r="F514" i="3"/>
  <c r="E514" i="3"/>
  <c r="D514" i="3"/>
  <c r="K513" i="3"/>
  <c r="K515" i="3" s="1"/>
  <c r="J513" i="3"/>
  <c r="J515" i="3" s="1"/>
  <c r="I513" i="3"/>
  <c r="I515" i="3" s="1"/>
  <c r="H513" i="3"/>
  <c r="H515" i="3" s="1"/>
  <c r="G513" i="3"/>
  <c r="G515" i="3" s="1"/>
  <c r="F513" i="3"/>
  <c r="F515" i="3" s="1"/>
  <c r="E513" i="3"/>
  <c r="E515" i="3" s="1"/>
  <c r="N514" i="3" s="1"/>
  <c r="D513" i="3"/>
  <c r="D473" i="3"/>
  <c r="K472" i="3"/>
  <c r="J472" i="3"/>
  <c r="I472" i="3"/>
  <c r="H472" i="3"/>
  <c r="G472" i="3"/>
  <c r="F472" i="3"/>
  <c r="E472" i="3"/>
  <c r="D472" i="3"/>
  <c r="K471" i="3"/>
  <c r="K473" i="3" s="1"/>
  <c r="J471" i="3"/>
  <c r="J473" i="3" s="1"/>
  <c r="I471" i="3"/>
  <c r="I473" i="3" s="1"/>
  <c r="H471" i="3"/>
  <c r="H473" i="3" s="1"/>
  <c r="G471" i="3"/>
  <c r="G473" i="3" s="1"/>
  <c r="F471" i="3"/>
  <c r="F473" i="3" s="1"/>
  <c r="E471" i="3"/>
  <c r="E473" i="3" s="1"/>
  <c r="D471" i="3"/>
  <c r="T13" i="1"/>
  <c r="T12" i="1"/>
  <c r="S13" i="1"/>
  <c r="S12" i="1"/>
  <c r="S3" i="1"/>
  <c r="S2" i="1"/>
  <c r="E514" i="1"/>
  <c r="D514" i="1"/>
  <c r="K513" i="1"/>
  <c r="J513" i="1"/>
  <c r="I513" i="1"/>
  <c r="H513" i="1"/>
  <c r="G513" i="1"/>
  <c r="F513" i="1"/>
  <c r="E513" i="1"/>
  <c r="D513" i="1"/>
  <c r="K512" i="1"/>
  <c r="K514" i="1" s="1"/>
  <c r="J512" i="1"/>
  <c r="J514" i="1" s="1"/>
  <c r="I512" i="1"/>
  <c r="I514" i="1" s="1"/>
  <c r="H512" i="1"/>
  <c r="H514" i="1" s="1"/>
  <c r="G512" i="1"/>
  <c r="G514" i="1" s="1"/>
  <c r="F512" i="1"/>
  <c r="F514" i="1" s="1"/>
  <c r="E512" i="1"/>
  <c r="D512" i="1"/>
  <c r="K472" i="1"/>
  <c r="G472" i="1"/>
  <c r="D472" i="1"/>
  <c r="K471" i="1"/>
  <c r="J471" i="1"/>
  <c r="I471" i="1"/>
  <c r="H471" i="1"/>
  <c r="G471" i="1"/>
  <c r="F471" i="1"/>
  <c r="E471" i="1"/>
  <c r="D471" i="1"/>
  <c r="K470" i="1"/>
  <c r="J470" i="1"/>
  <c r="J472" i="1" s="1"/>
  <c r="I470" i="1"/>
  <c r="I472" i="1" s="1"/>
  <c r="H470" i="1"/>
  <c r="H472" i="1" s="1"/>
  <c r="G470" i="1"/>
  <c r="F470" i="1"/>
  <c r="F472" i="1" s="1"/>
  <c r="E470" i="1"/>
  <c r="E472" i="1" s="1"/>
  <c r="N471" i="1" s="1"/>
  <c r="D470" i="1"/>
  <c r="T11" i="3"/>
  <c r="T10" i="3"/>
  <c r="T9" i="3"/>
  <c r="S11" i="3"/>
  <c r="S10" i="3"/>
  <c r="I431" i="3"/>
  <c r="E431" i="3"/>
  <c r="D431" i="3"/>
  <c r="K430" i="3"/>
  <c r="J430" i="3"/>
  <c r="I430" i="3"/>
  <c r="H430" i="3"/>
  <c r="G430" i="3"/>
  <c r="F430" i="3"/>
  <c r="E430" i="3"/>
  <c r="D430" i="3"/>
  <c r="K429" i="3"/>
  <c r="K431" i="3"/>
  <c r="J429" i="3"/>
  <c r="J431" i="3"/>
  <c r="I429" i="3"/>
  <c r="H429" i="3"/>
  <c r="H431" i="3"/>
  <c r="G429" i="3"/>
  <c r="G431" i="3"/>
  <c r="F429" i="3"/>
  <c r="F431" i="3"/>
  <c r="E429" i="3"/>
  <c r="D429" i="3"/>
  <c r="E389" i="3"/>
  <c r="D389" i="3"/>
  <c r="K388" i="3"/>
  <c r="J388" i="3"/>
  <c r="I388" i="3"/>
  <c r="H388" i="3"/>
  <c r="G388" i="3"/>
  <c r="F388" i="3"/>
  <c r="E388" i="3"/>
  <c r="D388" i="3"/>
  <c r="K387" i="3"/>
  <c r="K389" i="3"/>
  <c r="J387" i="3"/>
  <c r="J389" i="3"/>
  <c r="I387" i="3"/>
  <c r="I389" i="3"/>
  <c r="H387" i="3"/>
  <c r="H389" i="3"/>
  <c r="G387" i="3"/>
  <c r="G389" i="3"/>
  <c r="F387" i="3"/>
  <c r="F389" i="3"/>
  <c r="E387" i="3"/>
  <c r="D387" i="3"/>
  <c r="G347" i="3"/>
  <c r="K346" i="3"/>
  <c r="J346" i="3"/>
  <c r="I346" i="3"/>
  <c r="H346" i="3"/>
  <c r="G346" i="3"/>
  <c r="F346" i="3"/>
  <c r="E346" i="3"/>
  <c r="D346" i="3"/>
  <c r="K345" i="3"/>
  <c r="K347" i="3"/>
  <c r="J345" i="3"/>
  <c r="J347" i="3"/>
  <c r="I345" i="3"/>
  <c r="I347" i="3"/>
  <c r="H345" i="3"/>
  <c r="H347" i="3"/>
  <c r="G345" i="3"/>
  <c r="F345" i="3"/>
  <c r="F347" i="3" s="1"/>
  <c r="E345" i="3"/>
  <c r="E347" i="3"/>
  <c r="D345" i="3"/>
  <c r="D347" i="3"/>
  <c r="T11" i="1"/>
  <c r="S11" i="1"/>
  <c r="T10" i="1"/>
  <c r="S10" i="1"/>
  <c r="I430" i="1"/>
  <c r="H430" i="1"/>
  <c r="E430" i="1"/>
  <c r="D430" i="1"/>
  <c r="K429" i="1"/>
  <c r="J429" i="1"/>
  <c r="I429" i="1"/>
  <c r="H429" i="1"/>
  <c r="G429" i="1"/>
  <c r="F429" i="1"/>
  <c r="E429" i="1"/>
  <c r="D429" i="1"/>
  <c r="K428" i="1"/>
  <c r="K430" i="1"/>
  <c r="J428" i="1"/>
  <c r="J430" i="1"/>
  <c r="I428" i="1"/>
  <c r="H428" i="1"/>
  <c r="G428" i="1"/>
  <c r="G430" i="1"/>
  <c r="F428" i="1"/>
  <c r="F430" i="1"/>
  <c r="E428" i="1"/>
  <c r="D428" i="1"/>
  <c r="E388" i="1"/>
  <c r="D388" i="1"/>
  <c r="K387" i="1"/>
  <c r="J387" i="1"/>
  <c r="I387" i="1"/>
  <c r="H387" i="1"/>
  <c r="G387" i="1"/>
  <c r="F387" i="1"/>
  <c r="E387" i="1"/>
  <c r="D387" i="1"/>
  <c r="K386" i="1"/>
  <c r="K388" i="1"/>
  <c r="J386" i="1"/>
  <c r="J388" i="1"/>
  <c r="I386" i="1"/>
  <c r="I388" i="1"/>
  <c r="H386" i="1"/>
  <c r="H388" i="1"/>
  <c r="G386" i="1"/>
  <c r="G388" i="1"/>
  <c r="F386" i="1"/>
  <c r="F388" i="1"/>
  <c r="E386" i="1"/>
  <c r="D386" i="1"/>
  <c r="T9" i="1"/>
  <c r="S9" i="1"/>
  <c r="G346" i="1"/>
  <c r="D346" i="1"/>
  <c r="K345" i="1"/>
  <c r="J345" i="1"/>
  <c r="I345" i="1"/>
  <c r="H345" i="1"/>
  <c r="G345" i="1"/>
  <c r="F345" i="1"/>
  <c r="E345" i="1"/>
  <c r="D345" i="1"/>
  <c r="K344" i="1"/>
  <c r="K346" i="1"/>
  <c r="J344" i="1"/>
  <c r="J346" i="1"/>
  <c r="I344" i="1"/>
  <c r="I346" i="1"/>
  <c r="H344" i="1"/>
  <c r="H346" i="1"/>
  <c r="G344" i="1"/>
  <c r="F344" i="1"/>
  <c r="F346" i="1"/>
  <c r="E344" i="1"/>
  <c r="E346" i="1"/>
  <c r="D344" i="1"/>
  <c r="T8" i="3"/>
  <c r="E305" i="3"/>
  <c r="K304" i="3"/>
  <c r="J304" i="3"/>
  <c r="I304" i="3"/>
  <c r="H304" i="3"/>
  <c r="G304" i="3"/>
  <c r="F304" i="3"/>
  <c r="E304" i="3"/>
  <c r="D304" i="3"/>
  <c r="K303" i="3"/>
  <c r="K305" i="3"/>
  <c r="J303" i="3"/>
  <c r="J305" i="3"/>
  <c r="I303" i="3"/>
  <c r="I305" i="3"/>
  <c r="H303" i="3"/>
  <c r="H305" i="3"/>
  <c r="G303" i="3"/>
  <c r="G305" i="3"/>
  <c r="F303" i="3"/>
  <c r="F305" i="3"/>
  <c r="E303" i="3"/>
  <c r="D303" i="3"/>
  <c r="D305" i="3" s="1"/>
  <c r="K303" i="1"/>
  <c r="J303" i="1"/>
  <c r="I303" i="1"/>
  <c r="H303" i="1"/>
  <c r="G303" i="1"/>
  <c r="F303" i="1"/>
  <c r="E303" i="1"/>
  <c r="D303" i="1"/>
  <c r="K302" i="1"/>
  <c r="K304" i="1"/>
  <c r="J302" i="1"/>
  <c r="I302" i="1"/>
  <c r="I304" i="1"/>
  <c r="H302" i="1"/>
  <c r="H304" i="1"/>
  <c r="G302" i="1"/>
  <c r="G304" i="1"/>
  <c r="F302" i="1"/>
  <c r="F304" i="1"/>
  <c r="E302" i="1"/>
  <c r="E304" i="1"/>
  <c r="N303" i="1"/>
  <c r="T8" i="1"/>
  <c r="D302" i="1"/>
  <c r="D304" i="1"/>
  <c r="G263" i="3"/>
  <c r="K262" i="3"/>
  <c r="J262" i="3"/>
  <c r="I262" i="3"/>
  <c r="H262" i="3"/>
  <c r="G262" i="3"/>
  <c r="F262" i="3"/>
  <c r="E262" i="3"/>
  <c r="D262" i="3"/>
  <c r="K261" i="3"/>
  <c r="K263" i="3"/>
  <c r="J261" i="3"/>
  <c r="J263" i="3"/>
  <c r="I261" i="3"/>
  <c r="I263" i="3"/>
  <c r="H261" i="3"/>
  <c r="H263" i="3"/>
  <c r="G261" i="3"/>
  <c r="F261" i="3"/>
  <c r="F263" i="3" s="1"/>
  <c r="E261" i="3"/>
  <c r="E263" i="3" s="1"/>
  <c r="N262" i="3" s="1"/>
  <c r="T7" i="3" s="1"/>
  <c r="D261" i="3"/>
  <c r="D263" i="3"/>
  <c r="M262" i="3" s="1"/>
  <c r="S7" i="3" s="1"/>
  <c r="K261" i="1"/>
  <c r="J261" i="1"/>
  <c r="I261" i="1"/>
  <c r="H261" i="1"/>
  <c r="G261" i="1"/>
  <c r="F261" i="1"/>
  <c r="E261" i="1"/>
  <c r="D261" i="1"/>
  <c r="K260" i="1"/>
  <c r="J260" i="1"/>
  <c r="J262" i="1"/>
  <c r="I260" i="1"/>
  <c r="I262" i="1"/>
  <c r="H260" i="1"/>
  <c r="H262" i="1"/>
  <c r="G260" i="1"/>
  <c r="G262" i="1"/>
  <c r="F260" i="1"/>
  <c r="F262" i="1"/>
  <c r="E260" i="1"/>
  <c r="D260" i="1"/>
  <c r="K219" i="1"/>
  <c r="J219" i="1"/>
  <c r="I219" i="1"/>
  <c r="H219" i="1"/>
  <c r="G219" i="1"/>
  <c r="F219" i="1"/>
  <c r="E219" i="1"/>
  <c r="D219" i="1"/>
  <c r="K218" i="1"/>
  <c r="J218" i="1"/>
  <c r="J220" i="1"/>
  <c r="I218" i="1"/>
  <c r="I220" i="1"/>
  <c r="H218" i="1"/>
  <c r="H220" i="1"/>
  <c r="G218" i="1"/>
  <c r="G220" i="1"/>
  <c r="F218" i="1"/>
  <c r="E218" i="1"/>
  <c r="E220" i="1"/>
  <c r="D218" i="1"/>
  <c r="D220" i="1"/>
  <c r="K220" i="3"/>
  <c r="J220" i="3"/>
  <c r="I220" i="3"/>
  <c r="I221" i="3"/>
  <c r="H220" i="3"/>
  <c r="G220" i="3"/>
  <c r="F220" i="3"/>
  <c r="E220" i="3"/>
  <c r="D220" i="3"/>
  <c r="K219" i="3"/>
  <c r="K221" i="3"/>
  <c r="J219" i="3"/>
  <c r="J221" i="3"/>
  <c r="I219" i="3"/>
  <c r="H219" i="3"/>
  <c r="H221" i="3" s="1"/>
  <c r="G219" i="3"/>
  <c r="G221" i="3" s="1"/>
  <c r="F219" i="3"/>
  <c r="F221" i="3"/>
  <c r="E219" i="3"/>
  <c r="E221" i="3" s="1"/>
  <c r="N220" i="3" s="1"/>
  <c r="T6" i="3" s="1"/>
  <c r="D219" i="3"/>
  <c r="D221" i="3" s="1"/>
  <c r="M220" i="3" s="1"/>
  <c r="S6" i="3" s="1"/>
  <c r="E179" i="3"/>
  <c r="N178" i="3" s="1"/>
  <c r="T5" i="3" s="1"/>
  <c r="K178" i="3"/>
  <c r="J178" i="3"/>
  <c r="I178" i="3"/>
  <c r="H178" i="3"/>
  <c r="G178" i="3"/>
  <c r="F178" i="3"/>
  <c r="E178" i="3"/>
  <c r="D178" i="3"/>
  <c r="K177" i="3"/>
  <c r="K179" i="3"/>
  <c r="J177" i="3"/>
  <c r="J179" i="3" s="1"/>
  <c r="I177" i="3"/>
  <c r="I179" i="3"/>
  <c r="H177" i="3"/>
  <c r="H179" i="3"/>
  <c r="G177" i="3"/>
  <c r="G179" i="3"/>
  <c r="F177" i="3"/>
  <c r="F179" i="3" s="1"/>
  <c r="E177" i="3"/>
  <c r="D177" i="3"/>
  <c r="K177" i="1"/>
  <c r="J177" i="1"/>
  <c r="I177" i="1"/>
  <c r="H177" i="1"/>
  <c r="G177" i="1"/>
  <c r="F177" i="1"/>
  <c r="E177" i="1"/>
  <c r="D177" i="1"/>
  <c r="K176" i="1"/>
  <c r="J176" i="1"/>
  <c r="J178" i="1"/>
  <c r="I176" i="1"/>
  <c r="I178" i="1"/>
  <c r="H176" i="1"/>
  <c r="H178" i="1"/>
  <c r="G176" i="1"/>
  <c r="G178" i="1"/>
  <c r="F176" i="1"/>
  <c r="F178" i="1"/>
  <c r="E176" i="1"/>
  <c r="E178" i="1"/>
  <c r="D176" i="1"/>
  <c r="D178" i="1"/>
  <c r="T2" i="3"/>
  <c r="G50" i="1"/>
  <c r="E50" i="1"/>
  <c r="K135" i="1"/>
  <c r="J135" i="1"/>
  <c r="I135" i="1"/>
  <c r="H135" i="1"/>
  <c r="G135" i="1"/>
  <c r="F135" i="1"/>
  <c r="E135" i="1"/>
  <c r="D135" i="1"/>
  <c r="K134" i="1"/>
  <c r="K136" i="1"/>
  <c r="J134" i="1"/>
  <c r="J136" i="1"/>
  <c r="I134" i="1"/>
  <c r="I136" i="1"/>
  <c r="H134" i="1"/>
  <c r="H136" i="1"/>
  <c r="G134" i="1"/>
  <c r="G136" i="1"/>
  <c r="F134" i="1"/>
  <c r="F136" i="1"/>
  <c r="E134" i="1"/>
  <c r="E136" i="1"/>
  <c r="D134" i="1"/>
  <c r="D136" i="1"/>
  <c r="K136" i="3"/>
  <c r="J136" i="3"/>
  <c r="I136" i="3"/>
  <c r="H136" i="3"/>
  <c r="G136" i="3"/>
  <c r="F136" i="3"/>
  <c r="E136" i="3"/>
  <c r="D136" i="3"/>
  <c r="K135" i="3"/>
  <c r="J135" i="3"/>
  <c r="J137" i="3" s="1"/>
  <c r="I135" i="3"/>
  <c r="H135" i="3"/>
  <c r="H137" i="3" s="1"/>
  <c r="G135" i="3"/>
  <c r="G137" i="3" s="1"/>
  <c r="F135" i="3"/>
  <c r="F137" i="3"/>
  <c r="E135" i="3"/>
  <c r="E137" i="3" s="1"/>
  <c r="D135" i="3"/>
  <c r="K94" i="3"/>
  <c r="J94" i="3"/>
  <c r="I94" i="3"/>
  <c r="H94" i="3"/>
  <c r="G94" i="3"/>
  <c r="F94" i="3"/>
  <c r="E94" i="3"/>
  <c r="D94" i="3"/>
  <c r="K93" i="3"/>
  <c r="J93" i="3"/>
  <c r="I93" i="3"/>
  <c r="H93" i="3"/>
  <c r="G93" i="3"/>
  <c r="G95" i="3"/>
  <c r="F93" i="3"/>
  <c r="F95" i="3"/>
  <c r="E93" i="3"/>
  <c r="E95" i="3"/>
  <c r="D93" i="3"/>
  <c r="D95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G53" i="3"/>
  <c r="F51" i="3"/>
  <c r="F53" i="3"/>
  <c r="E51" i="3"/>
  <c r="D51" i="3"/>
  <c r="D53" i="3"/>
  <c r="N430" i="3"/>
  <c r="M430" i="3"/>
  <c r="M346" i="3"/>
  <c r="S9" i="3" s="1"/>
  <c r="N346" i="3"/>
  <c r="M388" i="3"/>
  <c r="N388" i="3"/>
  <c r="M429" i="1"/>
  <c r="N429" i="1"/>
  <c r="M387" i="1"/>
  <c r="N387" i="1"/>
  <c r="M345" i="1"/>
  <c r="N345" i="1"/>
  <c r="J304" i="1"/>
  <c r="K262" i="1"/>
  <c r="D262" i="1"/>
  <c r="M261" i="1"/>
  <c r="S7" i="1"/>
  <c r="E262" i="1"/>
  <c r="N261" i="1"/>
  <c r="T7" i="1"/>
  <c r="F220" i="1"/>
  <c r="K220" i="1"/>
  <c r="N219" i="1"/>
  <c r="T6" i="1"/>
  <c r="K178" i="1"/>
  <c r="N177" i="1"/>
  <c r="T5" i="1"/>
  <c r="M304" i="3"/>
  <c r="S8" i="3" s="1"/>
  <c r="N304" i="3"/>
  <c r="M303" i="1"/>
  <c r="S8" i="1"/>
  <c r="M219" i="1"/>
  <c r="S6" i="1"/>
  <c r="M177" i="1"/>
  <c r="S5" i="1"/>
  <c r="I137" i="3"/>
  <c r="K137" i="3"/>
  <c r="I95" i="3"/>
  <c r="H95" i="3"/>
  <c r="J95" i="3"/>
  <c r="K95" i="3"/>
  <c r="H53" i="3"/>
  <c r="I53" i="3"/>
  <c r="J53" i="3"/>
  <c r="E53" i="3"/>
  <c r="M52" i="3"/>
  <c r="S2" i="3" s="1"/>
  <c r="K53" i="3"/>
  <c r="N52" i="3"/>
  <c r="M135" i="1"/>
  <c r="S4" i="1"/>
  <c r="N135" i="1"/>
  <c r="T4" i="1"/>
  <c r="M94" i="3"/>
  <c r="N94" i="3"/>
  <c r="K93" i="1"/>
  <c r="J93" i="1"/>
  <c r="I93" i="1"/>
  <c r="H93" i="1"/>
  <c r="G93" i="1"/>
  <c r="F93" i="1"/>
  <c r="E93" i="1"/>
  <c r="D93" i="1"/>
  <c r="K92" i="1"/>
  <c r="K94" i="1"/>
  <c r="J92" i="1"/>
  <c r="J94" i="1"/>
  <c r="I92" i="1"/>
  <c r="I94" i="1"/>
  <c r="H92" i="1"/>
  <c r="H94" i="1"/>
  <c r="G92" i="1"/>
  <c r="G94" i="1"/>
  <c r="F92" i="1"/>
  <c r="F94" i="1"/>
  <c r="E92" i="1"/>
  <c r="E94" i="1"/>
  <c r="D92" i="1"/>
  <c r="D94" i="1"/>
  <c r="S3" i="3"/>
  <c r="T3" i="3"/>
  <c r="M93" i="1"/>
  <c r="N93" i="1"/>
  <c r="T3" i="1"/>
  <c r="E51" i="1"/>
  <c r="E52" i="1"/>
  <c r="F51" i="1"/>
  <c r="G51" i="1"/>
  <c r="H51" i="1"/>
  <c r="I51" i="1"/>
  <c r="J51" i="1"/>
  <c r="K51" i="1"/>
  <c r="D51" i="1"/>
  <c r="F50" i="1"/>
  <c r="H50" i="1"/>
  <c r="I50" i="1"/>
  <c r="J50" i="1"/>
  <c r="K50" i="1"/>
  <c r="D50" i="1"/>
  <c r="F52" i="1"/>
  <c r="J52" i="1"/>
  <c r="D52" i="1"/>
  <c r="I52" i="1"/>
  <c r="K52" i="1"/>
  <c r="H52" i="1"/>
  <c r="G52" i="1"/>
  <c r="N51" i="1"/>
  <c r="T2" i="1"/>
  <c r="M51" i="1"/>
  <c r="M178" i="20" l="1"/>
  <c r="S5" i="20" s="1"/>
  <c r="M262" i="20"/>
  <c r="S7" i="20" s="1"/>
  <c r="M514" i="20"/>
  <c r="S13" i="20" s="1"/>
  <c r="N178" i="20"/>
  <c r="T5" i="20" s="1"/>
  <c r="N346" i="20"/>
  <c r="T9" i="20" s="1"/>
  <c r="N514" i="20"/>
  <c r="T13" i="20" s="1"/>
  <c r="M346" i="20"/>
  <c r="S9" i="20" s="1"/>
  <c r="M94" i="20"/>
  <c r="S3" i="20" s="1"/>
  <c r="M430" i="20"/>
  <c r="S11" i="20" s="1"/>
  <c r="J263" i="19"/>
  <c r="I305" i="19"/>
  <c r="N304" i="19" s="1"/>
  <c r="T8" i="19" s="1"/>
  <c r="H305" i="19"/>
  <c r="M304" i="19"/>
  <c r="S8" i="19" s="1"/>
  <c r="G347" i="19"/>
  <c r="M94" i="19"/>
  <c r="S3" i="19" s="1"/>
  <c r="M178" i="19"/>
  <c r="S5" i="19" s="1"/>
  <c r="M262" i="19"/>
  <c r="S7" i="19" s="1"/>
  <c r="M346" i="19"/>
  <c r="S9" i="19" s="1"/>
  <c r="M430" i="19"/>
  <c r="S11" i="19" s="1"/>
  <c r="M514" i="19"/>
  <c r="S13" i="19" s="1"/>
  <c r="N94" i="19"/>
  <c r="T3" i="19" s="1"/>
  <c r="N178" i="19"/>
  <c r="T5" i="19" s="1"/>
  <c r="N262" i="19"/>
  <c r="T7" i="19" s="1"/>
  <c r="N346" i="19"/>
  <c r="T9" i="19" s="1"/>
  <c r="N430" i="19"/>
  <c r="T11" i="19" s="1"/>
  <c r="N514" i="19"/>
  <c r="T13" i="19" s="1"/>
  <c r="M52" i="18"/>
  <c r="S2" i="18" s="1"/>
  <c r="N52" i="18"/>
  <c r="T2" i="18" s="1"/>
  <c r="E95" i="18"/>
  <c r="M94" i="18"/>
  <c r="S3" i="18" s="1"/>
  <c r="M136" i="18"/>
  <c r="S4" i="18" s="1"/>
  <c r="N136" i="18"/>
  <c r="T4" i="18" s="1"/>
  <c r="N220" i="18"/>
  <c r="T6" i="18" s="1"/>
  <c r="M178" i="18"/>
  <c r="S5" i="18" s="1"/>
  <c r="M346" i="18"/>
  <c r="S9" i="18" s="1"/>
  <c r="M514" i="18"/>
  <c r="S13" i="18" s="1"/>
  <c r="N94" i="18"/>
  <c r="T3" i="18" s="1"/>
  <c r="N178" i="18"/>
  <c r="T5" i="18" s="1"/>
  <c r="N262" i="18"/>
  <c r="T7" i="18" s="1"/>
  <c r="N346" i="18"/>
  <c r="T9" i="18" s="1"/>
  <c r="N430" i="18"/>
  <c r="T11" i="18" s="1"/>
  <c r="N514" i="18"/>
  <c r="T13" i="18" s="1"/>
  <c r="D179" i="3"/>
  <c r="G53" i="17"/>
  <c r="H53" i="17"/>
  <c r="F95" i="17"/>
  <c r="H95" i="17"/>
  <c r="I95" i="17"/>
  <c r="F137" i="17"/>
  <c r="I137" i="17"/>
  <c r="H137" i="17"/>
  <c r="M220" i="17"/>
  <c r="S6" i="17" s="1"/>
  <c r="N430" i="17"/>
  <c r="T11" i="17" s="1"/>
  <c r="M52" i="17"/>
  <c r="S2" i="17" s="1"/>
  <c r="N52" i="17"/>
  <c r="T2" i="17" s="1"/>
  <c r="M94" i="17"/>
  <c r="S3" i="17" s="1"/>
  <c r="N220" i="17"/>
  <c r="T6" i="17" s="1"/>
  <c r="M346" i="17"/>
  <c r="S9" i="17" s="1"/>
  <c r="N94" i="17"/>
  <c r="T3" i="17" s="1"/>
  <c r="M472" i="17"/>
  <c r="S12" i="17" s="1"/>
  <c r="N472" i="17"/>
  <c r="T12" i="17" s="1"/>
  <c r="M136" i="17"/>
  <c r="S4" i="17" s="1"/>
  <c r="N136" i="17"/>
  <c r="T4" i="17" s="1"/>
  <c r="M262" i="17"/>
  <c r="S7" i="17" s="1"/>
  <c r="M430" i="17"/>
  <c r="S11" i="17" s="1"/>
  <c r="N262" i="17"/>
  <c r="T7" i="17" s="1"/>
  <c r="M388" i="17"/>
  <c r="S10" i="17" s="1"/>
  <c r="D137" i="3"/>
  <c r="M346" i="16"/>
  <c r="S9" i="16" s="1"/>
  <c r="M136" i="16"/>
  <c r="S4" i="16" s="1"/>
  <c r="N346" i="16"/>
  <c r="T9" i="16" s="1"/>
  <c r="M472" i="16"/>
  <c r="S12" i="16" s="1"/>
  <c r="N136" i="16"/>
  <c r="T4" i="16" s="1"/>
  <c r="N472" i="16"/>
  <c r="T12" i="16" s="1"/>
  <c r="N52" i="16"/>
  <c r="T2" i="16" s="1"/>
  <c r="M178" i="16"/>
  <c r="S5" i="16" s="1"/>
  <c r="N388" i="16"/>
  <c r="T10" i="16" s="1"/>
  <c r="M514" i="16"/>
  <c r="S13" i="16" s="1"/>
  <c r="N178" i="16"/>
  <c r="T5" i="16" s="1"/>
  <c r="M304" i="16"/>
  <c r="S8" i="16" s="1"/>
  <c r="N514" i="16"/>
  <c r="T13" i="16" s="1"/>
  <c r="M94" i="15"/>
  <c r="S3" i="15" s="1"/>
  <c r="M178" i="15"/>
  <c r="S5" i="15" s="1"/>
  <c r="M262" i="15"/>
  <c r="S7" i="15" s="1"/>
  <c r="M346" i="15"/>
  <c r="S9" i="15" s="1"/>
  <c r="M430" i="15"/>
  <c r="S11" i="15" s="1"/>
  <c r="M514" i="15"/>
  <c r="S13" i="15" s="1"/>
  <c r="N94" i="15"/>
  <c r="T3" i="15" s="1"/>
  <c r="N178" i="15"/>
  <c r="T5" i="15" s="1"/>
  <c r="N262" i="15"/>
  <c r="T7" i="15" s="1"/>
  <c r="N346" i="15"/>
  <c r="T9" i="15" s="1"/>
  <c r="N430" i="15"/>
  <c r="T11" i="15" s="1"/>
  <c r="N514" i="15"/>
  <c r="T13" i="15" s="1"/>
  <c r="M94" i="11"/>
  <c r="S3" i="11" s="1"/>
  <c r="M262" i="11"/>
  <c r="S7" i="11" s="1"/>
  <c r="M430" i="11"/>
  <c r="S11" i="11" s="1"/>
  <c r="N94" i="11"/>
  <c r="T3" i="11" s="1"/>
  <c r="N262" i="11"/>
  <c r="T7" i="11" s="1"/>
  <c r="N430" i="11"/>
  <c r="T11" i="11" s="1"/>
  <c r="M136" i="11"/>
  <c r="S4" i="11" s="1"/>
  <c r="M304" i="11"/>
  <c r="S8" i="11" s="1"/>
  <c r="M472" i="11"/>
  <c r="S12" i="11" s="1"/>
  <c r="N136" i="11"/>
  <c r="T4" i="11" s="1"/>
  <c r="N304" i="11"/>
  <c r="T8" i="11" s="1"/>
  <c r="N472" i="11"/>
  <c r="T12" i="11" s="1"/>
  <c r="M178" i="11"/>
  <c r="S5" i="11" s="1"/>
  <c r="M346" i="11"/>
  <c r="S9" i="11" s="1"/>
  <c r="M514" i="11"/>
  <c r="S13" i="11" s="1"/>
  <c r="N178" i="11"/>
  <c r="T5" i="11" s="1"/>
  <c r="N346" i="11"/>
  <c r="T9" i="11" s="1"/>
  <c r="N514" i="11"/>
  <c r="T13" i="11" s="1"/>
  <c r="M514" i="3"/>
  <c r="N472" i="3"/>
  <c r="M472" i="3"/>
  <c r="M178" i="3"/>
  <c r="S5" i="3" s="1"/>
  <c r="N136" i="3"/>
  <c r="T4" i="3" s="1"/>
  <c r="M136" i="3"/>
  <c r="S4" i="3" s="1"/>
  <c r="M513" i="1"/>
  <c r="N513" i="1"/>
  <c r="M471" i="1"/>
</calcChain>
</file>

<file path=xl/sharedStrings.xml><?xml version="1.0" encoding="utf-8"?>
<sst xmlns="http://schemas.openxmlformats.org/spreadsheetml/2006/main" count="7136" uniqueCount="104">
  <si>
    <t>Checklist Mingguan (SA/CA/PT/TJH)</t>
  </si>
  <si>
    <t>MONTH</t>
  </si>
  <si>
    <t>SV/AS</t>
  </si>
  <si>
    <t>MGR</t>
  </si>
  <si>
    <t>N/A</t>
  </si>
  <si>
    <t>MONTH: JANUARY 2026</t>
  </si>
  <si>
    <t>&lt;BACK</t>
  </si>
  <si>
    <t>WEEK 1</t>
  </si>
  <si>
    <t>WEEK 2</t>
  </si>
  <si>
    <t>WEEK 3</t>
  </si>
  <si>
    <t>WEEK 4</t>
  </si>
  <si>
    <t>NO.</t>
  </si>
  <si>
    <t>PERKARA</t>
  </si>
  <si>
    <t>TARIKH:</t>
  </si>
  <si>
    <t>CADANGAN</t>
  </si>
  <si>
    <t>MANAGER</t>
  </si>
  <si>
    <t>NAMA</t>
  </si>
  <si>
    <t>KEDATANGAN</t>
  </si>
  <si>
    <t>CATATAN:</t>
  </si>
  <si>
    <t>DISPLIN</t>
  </si>
  <si>
    <t>KEBERSIHAN BAHAGIAN</t>
  </si>
  <si>
    <t>A) LANTAI</t>
  </si>
  <si>
    <t>B) RAK / TEMPAT KAUNTER</t>
  </si>
  <si>
    <t>C) BARANG DISPLAY</t>
  </si>
  <si>
    <t>KEKEMASAN BAHAGIAN</t>
  </si>
  <si>
    <t>A) BARANG DISPLAY</t>
  </si>
  <si>
    <t>B) LEBIHAN BARANG</t>
  </si>
  <si>
    <t>KEBERSIHAN &amp; KEKEMASAN STOR</t>
  </si>
  <si>
    <t>PENYUSUAN BARANG</t>
  </si>
  <si>
    <t>A) PASTIKAN SETIAP BARANG SUSUN DI ATAS RAK</t>
  </si>
  <si>
    <t>B) 'FIRST IN FIRST OUT'</t>
  </si>
  <si>
    <t>C) TURUN &amp; TAMBAH STOK</t>
  </si>
  <si>
    <t>D) PERIKSA BARANG TARIKH LUPUT</t>
  </si>
  <si>
    <t>E) REPACKING</t>
  </si>
  <si>
    <t>KEBERSIHAN KEDAI</t>
  </si>
  <si>
    <t>A) TANDAS</t>
  </si>
  <si>
    <t>B) KIPAS</t>
  </si>
  <si>
    <t>C) AIR-COND</t>
  </si>
  <si>
    <t>D) AIR COOLER</t>
  </si>
  <si>
    <t>E) SAWANG</t>
  </si>
  <si>
    <t>F) KALI LIMA / PARKING LOT</t>
  </si>
  <si>
    <t>G) LONGKANG</t>
  </si>
  <si>
    <t>H) POTONG POKOK / RUMPUT</t>
  </si>
  <si>
    <t>I) PETI SEJUK</t>
  </si>
  <si>
    <t>JUMLAH MARKAH</t>
  </si>
  <si>
    <t>%</t>
  </si>
  <si>
    <t>MONTH: FEBRUARY 2026</t>
  </si>
  <si>
    <t>MONTH: MARCH 2026</t>
  </si>
  <si>
    <t>MONTH: APRIL 2026</t>
  </si>
  <si>
    <t>MONTH: MAY 2026</t>
  </si>
  <si>
    <t>MONTH: JUNE 2026</t>
  </si>
  <si>
    <t>MONTH: JULY 2026</t>
  </si>
  <si>
    <t>MONTH: AUGUST 2026</t>
  </si>
  <si>
    <t>MONTH: SEPTEMBER 2026</t>
  </si>
  <si>
    <t>MONTH: OCTOBER 2026</t>
  </si>
  <si>
    <t>MONTH: NOVEMBER 2026</t>
  </si>
  <si>
    <t>MONTH: DECEMBER 2026</t>
  </si>
  <si>
    <t>KEADAAN ASET KEDAI</t>
  </si>
  <si>
    <t>TICK (/)</t>
  </si>
  <si>
    <t>CATATAN</t>
  </si>
  <si>
    <t>TARIKH PENYELESAIAN</t>
  </si>
  <si>
    <t>A) AIR-COND</t>
  </si>
  <si>
    <t>/</t>
  </si>
  <si>
    <t>tingkat bawah 3 aicond tak sejuk.tingkat atas 2 aircond tak hidup</t>
  </si>
  <si>
    <t>masih sama</t>
  </si>
  <si>
    <t>28/01/26</t>
  </si>
  <si>
    <t>semua okey</t>
  </si>
  <si>
    <t>B) AIR COOLER</t>
  </si>
  <si>
    <t>C) LAMPU</t>
  </si>
  <si>
    <t>D) KIPAS</t>
  </si>
  <si>
    <t>E) KOMPUTER</t>
  </si>
  <si>
    <t>F) SALURAN AIR TANDAS</t>
  </si>
  <si>
    <t>G) KEBOCORAN AIR</t>
  </si>
  <si>
    <t>H) SIGNBOARD</t>
  </si>
  <si>
    <t>I) SPOTLIGHT</t>
  </si>
  <si>
    <t>J) LAIN-LAIN:</t>
  </si>
  <si>
    <t>DIISIKAN OLEH:</t>
  </si>
  <si>
    <t>khairul bin talib</t>
  </si>
  <si>
    <t>khairul</t>
  </si>
  <si>
    <t>khairul;</t>
  </si>
  <si>
    <t>DIPERIKSA OLEH:</t>
  </si>
  <si>
    <t>24/01/26</t>
  </si>
  <si>
    <t>31/01/26</t>
  </si>
  <si>
    <t>21/02/26</t>
  </si>
  <si>
    <t>28/02/26</t>
  </si>
  <si>
    <t>OK</t>
  </si>
  <si>
    <t>2 unit ac compressor rosak</t>
  </si>
  <si>
    <t xml:space="preserve">2 unit ac rosak </t>
  </si>
  <si>
    <t>2 unit ac rosak</t>
  </si>
  <si>
    <t>ok</t>
  </si>
  <si>
    <t>AZIZUL</t>
  </si>
  <si>
    <t>2 unit a/c rosak</t>
  </si>
  <si>
    <t>2 unit a/c sdh tukar baru 1 set</t>
  </si>
  <si>
    <t>tile lantai kedai ada yg rosak/pecah di beberapa tmpt</t>
  </si>
  <si>
    <t>sdh report dlm group</t>
  </si>
  <si>
    <t>2 unit a/c x sejuk dan 1 unit a/c on 20 minit ncb akan jatuh/trip</t>
  </si>
  <si>
    <t>2 unit a/c x sejuk dan 2 unit a/c on 1 jam ncb akan jatuh/trip</t>
  </si>
  <si>
    <t>1 unit a/c masalah x sejuk sdh settle..skrng  ada 1 unit a/c lgi yg belum buat..</t>
  </si>
  <si>
    <t>1 unit a/c x sejuk</t>
  </si>
  <si>
    <t>1 unit a/c compressor sdh tukar baru pada 24/07/26 dan sejuk..tpi skrng sdh x sejuk lgi..</t>
  </si>
  <si>
    <t>a/c yg x sejuk skrng sdh ok</t>
  </si>
  <si>
    <t>03/08/26 org daikin sdh dtg buat..</t>
  </si>
  <si>
    <t>Sdh report dlm group</t>
  </si>
  <si>
    <t>Tile lantai kedai ada yg rosak/pecah di beberapa tmpt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</si>
</sst>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yy;@"/>
  </numFmts>
  <fonts count="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u/>
      <sz val="11"/>
      <color theme="10"/>
      <name val="Arial"/>
      <family val="2"/>
    </font>
    <font>
      <b/>
      <u/>
      <sz val="11"/>
      <color theme="1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9" fontId="0" fillId="0" borderId="0" xfId="1" applyFont="1"/>
    <xf numFmtId="0" fontId="3" fillId="0" borderId="0" xfId="0" applyFo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9" fontId="2" fillId="0" borderId="0" xfId="1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4" fillId="0" borderId="0" xfId="0" applyFont="1"/>
    <xf numFmtId="0" fontId="2" fillId="5" borderId="1" xfId="0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7" fontId="2" fillId="6" borderId="1" xfId="0" applyNumberFormat="1" applyFont="1" applyFill="1" applyBorder="1" applyAlignment="1">
      <alignment horizontal="right"/>
    </xf>
    <xf numFmtId="9" fontId="2" fillId="6" borderId="1" xfId="0" applyNumberFormat="1" applyFont="1" applyFill="1" applyBorder="1" applyAlignment="1">
      <alignment horizontal="center"/>
    </xf>
    <xf numFmtId="0" fontId="0" fillId="7" borderId="0" xfId="0" applyFill="1"/>
    <xf numFmtId="0" fontId="6" fillId="0" borderId="0" xfId="2" applyFont="1"/>
    <xf numFmtId="0" fontId="0" fillId="4" borderId="1" xfId="0" applyFill="1" applyBorder="1" applyAlignment="1">
      <alignment wrapText="1"/>
    </xf>
    <xf numFmtId="0" fontId="0" fillId="8" borderId="8" xfId="0" applyFill="1" applyBorder="1"/>
    <xf numFmtId="0" fontId="0" fillId="8" borderId="9" xfId="0" applyFill="1" applyBorder="1" applyAlignment="1">
      <alignment horizontal="right"/>
    </xf>
    <xf numFmtId="0" fontId="0" fillId="8" borderId="9" xfId="0" applyFill="1" applyBorder="1"/>
    <xf numFmtId="0" fontId="0" fillId="8" borderId="10" xfId="0" applyFill="1" applyBorder="1"/>
    <xf numFmtId="164" fontId="2" fillId="3" borderId="1" xfId="0" applyNumberFormat="1" applyFont="1" applyFill="1" applyBorder="1"/>
    <xf numFmtId="0" fontId="0" fillId="0" borderId="0" xfId="0" applyProtection="1">
      <protection hidden="1"/>
    </xf>
    <xf numFmtId="0" fontId="2" fillId="0" borderId="0" xfId="0" applyFont="1" applyProtection="1">
      <protection hidden="1"/>
    </xf>
    <xf numFmtId="0" fontId="2" fillId="5" borderId="1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9" fontId="2" fillId="5" borderId="1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9" fontId="2" fillId="0" borderId="0" xfId="1" applyFont="1" applyProtection="1">
      <protection hidden="1"/>
    </xf>
    <xf numFmtId="9" fontId="0" fillId="0" borderId="0" xfId="1" applyFont="1" applyProtection="1">
      <protection hidden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0" borderId="0" xfId="2" applyFont="1" applyAlignment="1">
      <alignment vertical="top"/>
    </xf>
    <xf numFmtId="14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2" fillId="6" borderId="1" xfId="0" applyNumberFormat="1" applyFont="1" applyFill="1" applyBorder="1" applyAlignment="1">
      <alignment horizontal="center" vertical="center" wrapText="1"/>
    </xf>
    <xf numFmtId="9" fontId="2" fillId="6" borderId="1" xfId="0" applyNumberFormat="1" applyFont="1" applyFill="1" applyBorder="1"/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9" fontId="2" fillId="0" borderId="0" xfId="1" applyFont="1" applyAlignment="1">
      <alignment horizontal="center" wrapText="1"/>
    </xf>
    <xf numFmtId="0" fontId="0" fillId="7" borderId="0" xfId="0" applyFill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right"/>
      <protection hidden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'CHECKLIST STAFF'!$S$1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'CHECKLIST STAFF'!$R$2:$R$11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'CHECKLIST STAFF'!$S$2:$S$11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DE3-88A2-3F213718F4B3}"/>
            </c:ext>
          </c:extLst>
        </c:ser>
        <c:ser>
          <c:idx val="1"/>
          <c:order val="1"/>
          <c:tx>
            <c:strRef>
              <c:f>'CHECKLIST STAFF'!$T$1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'CHECKLIST STAFF'!$R$2:$R$11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'CHECKLIST STAFF'!$T$2:$T$11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9-4DE3-88A2-3F213718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113376"/>
        <c:axId val="1620112896"/>
      </c:barChart>
      <c:dateAx>
        <c:axId val="1620113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12896"/>
        <c:crosses val="autoZero"/>
        <c:auto val="1"/>
        <c:lblOffset val="100"/>
        <c:baseTimeUnit val="months"/>
      </c:dateAx>
      <c:valAx>
        <c:axId val="16201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'KP0093_SYAZANA IZZAH ZAFIRAH'!$S$1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'KP0093_SYAZANA IZZAH ZAFIRAH'!$R$2:$R$10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'KP0093_SYAZANA IZZAH ZAFIRAH'!$S$2:$S$10</c:f>
              <c:numCache>
                <c:formatCode>0%</c:formatCode>
                <c:ptCount val="9"/>
                <c:pt idx="0">
                  <c:v>0.81013157894736842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4-477C-A90C-039C0FE196FB}"/>
            </c:ext>
          </c:extLst>
        </c:ser>
        <c:ser>
          <c:idx val="1"/>
          <c:order val="1"/>
          <c:tx>
            <c:strRef>
              <c:f>'KP0093_SYAZANA IZZAH ZAFIRAH'!$T$1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'KP0093_SYAZANA IZZAH ZAFIRAH'!$R$2:$R$10</c:f>
              <c:numCache>
                <c:formatCode>mmm\-yy</c:formatCode>
                <c:ptCount val="9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</c:numCache>
            </c:numRef>
          </c:cat>
          <c:val>
            <c:numRef>
              <c:f>'KP0093_SYAZANA IZZAH ZAFIRAH'!$T$2:$T$10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4-477C-A90C-039C0FE19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62800"/>
        <c:axId val="44158960"/>
      </c:barChart>
      <c:dateAx>
        <c:axId val="44162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8960"/>
        <c:crosses val="autoZero"/>
        <c:auto val="1"/>
        <c:lblOffset val="100"/>
        <c:baseTimeUnit val="months"/>
      </c:dateAx>
      <c:valAx>
        <c:axId val="441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'KP0103_PUTRI WAHIDA AMALIN'!$S$1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'KP0103_PUTRI WAHIDA AMALIN'!$R$2:$R$11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'KP0103_PUTRI WAHIDA AMALIN'!$S$2:$S$11</c:f>
              <c:numCache>
                <c:formatCode>0%</c:formatCode>
                <c:ptCount val="10"/>
                <c:pt idx="0">
                  <c:v>0.81111111111111112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8-4780-BCC4-E294F6EAB587}"/>
            </c:ext>
          </c:extLst>
        </c:ser>
        <c:ser>
          <c:idx val="1"/>
          <c:order val="1"/>
          <c:tx>
            <c:strRef>
              <c:f>'KP0103_PUTRI WAHIDA AMALIN'!$T$1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'KP0103_PUTRI WAHIDA AMALIN'!$R$2:$R$11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'KP0103_PUTRI WAHIDA AMALIN'!$T$2:$T$11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8-4780-BCC4-E294F6EAB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5440"/>
        <c:axId val="44189680"/>
      </c:barChart>
      <c:dateAx>
        <c:axId val="4419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680"/>
        <c:crosses val="autoZero"/>
        <c:auto val="1"/>
        <c:lblOffset val="100"/>
        <c:baseTimeUnit val="months"/>
      </c:dateAx>
      <c:valAx>
        <c:axId val="441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'KP0108_NOR ASYIKIN'!$S$1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'KP0108_NOR ASYIKIN'!$R$2:$R$11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'KP0108_NOR ASYIKIN'!$S$2:$S$11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8-4813-A786-6AE8180040B5}"/>
            </c:ext>
          </c:extLst>
        </c:ser>
        <c:ser>
          <c:idx val="1"/>
          <c:order val="1"/>
          <c:tx>
            <c:strRef>
              <c:f>'KP0108_NOR ASYIKIN'!$T$1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'KP0108_NOR ASYIKIN'!$R$2:$R$11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'KP0108_NOR ASYIKIN'!$T$2:$T$11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8-4813-A786-6AE818004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82480"/>
        <c:axId val="44182960"/>
      </c:barChart>
      <c:dateAx>
        <c:axId val="44182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960"/>
        <c:crosses val="autoZero"/>
        <c:auto val="1"/>
        <c:lblOffset val="100"/>
        <c:baseTimeUnit val="months"/>
      </c:dateAx>
      <c:valAx>
        <c:axId val="441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'KP0110_FILZAH DIYANA'!$S$1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'KP0110_FILZAH DIYANA'!$R$2:$R$11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'KP0110_FILZAH DIYANA'!$S$2:$S$11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0-4521-94B2-9A9B61E338BC}"/>
            </c:ext>
          </c:extLst>
        </c:ser>
        <c:ser>
          <c:idx val="1"/>
          <c:order val="1"/>
          <c:tx>
            <c:strRef>
              <c:f>'KP0110_FILZAH DIYANA'!$T$1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'KP0110_FILZAH DIYANA'!$R$2:$R$11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'KP0110_FILZAH DIYANA'!$T$2:$T$11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30-4521-94B2-9A9B61E33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82480"/>
        <c:axId val="44182960"/>
      </c:barChart>
      <c:dateAx>
        <c:axId val="44182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960"/>
        <c:crosses val="autoZero"/>
        <c:auto val="1"/>
        <c:lblOffset val="100"/>
        <c:baseTimeUnit val="months"/>
      </c:dateAx>
      <c:valAx>
        <c:axId val="441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'KP0111_PUTERI NUR HAFIZA'!$S$1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'KP0111_PUTERI NUR HAFIZA'!$R$2:$R$11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'KP0111_PUTERI NUR HAFIZA'!$S$2:$S$11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3-4E8D-A561-E2B269DED746}"/>
            </c:ext>
          </c:extLst>
        </c:ser>
        <c:ser>
          <c:idx val="1"/>
          <c:order val="1"/>
          <c:tx>
            <c:strRef>
              <c:f>'KP0111_PUTERI NUR HAFIZA'!$T$1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'KP0111_PUTERI NUR HAFIZA'!$R$2:$R$11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'KP0111_PUTERI NUR HAFIZA'!$T$2:$T$11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3-4E8D-A561-E2B269DED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82480"/>
        <c:axId val="44182960"/>
      </c:barChart>
      <c:dateAx>
        <c:axId val="44182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960"/>
        <c:crosses val="autoZero"/>
        <c:auto val="1"/>
        <c:lblOffset val="100"/>
        <c:baseTimeUnit val="months"/>
      </c:dateAx>
      <c:valAx>
        <c:axId val="4418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'MY0544_U TIN TUN'!$S$1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'MY0544_U TIN TUN'!$R$2:$R$11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'MY0544_U TIN TUN'!$S$2:$S$11</c:f>
              <c:numCache>
                <c:formatCode>0%</c:formatCode>
                <c:ptCount val="10"/>
                <c:pt idx="0">
                  <c:v>0.81052631578947365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4-425E-BB64-0D54CB275179}"/>
            </c:ext>
          </c:extLst>
        </c:ser>
        <c:ser>
          <c:idx val="1"/>
          <c:order val="1"/>
          <c:tx>
            <c:strRef>
              <c:f>'MY0544_U TIN TUN'!$T$1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'MY0544_U TIN TUN'!$R$2:$R$11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'MY0544_U TIN TUN'!$T$2:$T$11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4-425E-BB64-0D54CB275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5440"/>
        <c:axId val="44189680"/>
      </c:barChart>
      <c:dateAx>
        <c:axId val="4419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680"/>
        <c:crosses val="autoZero"/>
        <c:auto val="1"/>
        <c:lblOffset val="100"/>
        <c:baseTimeUnit val="months"/>
      </c:dateAx>
      <c:valAx>
        <c:axId val="441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'MY0606_AH SAN'!$S$1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'MY0606_AH SAN'!$R$2:$R$11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'MY0606_AH SAN'!$S$2:$S$11</c:f>
              <c:numCache>
                <c:formatCode>0%</c:formatCode>
                <c:ptCount val="10"/>
                <c:pt idx="0">
                  <c:v>0.81052631578947365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4-4B60-8A3A-2339A6A9177F}"/>
            </c:ext>
          </c:extLst>
        </c:ser>
        <c:ser>
          <c:idx val="1"/>
          <c:order val="1"/>
          <c:tx>
            <c:strRef>
              <c:f>'MY0606_AH SAN'!$T$1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'MY0606_AH SAN'!$R$2:$R$11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'MY0606_AH SAN'!$T$2:$T$11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4-4B60-8A3A-2339A6A91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5440"/>
        <c:axId val="44189680"/>
      </c:barChart>
      <c:dateAx>
        <c:axId val="4419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680"/>
        <c:crosses val="autoZero"/>
        <c:auto val="1"/>
        <c:lblOffset val="100"/>
        <c:baseTimeUnit val="months"/>
      </c:dateAx>
      <c:valAx>
        <c:axId val="441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'MY0644_PYHI SI THU'!$S$1</c:f>
              <c:strCache>
                <c:ptCount val="1"/>
                <c:pt idx="0">
                  <c:v>SV/AS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'MY0644_PYHI SI THU'!$R$2:$R$11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'MY0644_PYHI SI THU'!$S$2:$S$11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7-4C28-A4C1-04BC6B6D4508}"/>
            </c:ext>
          </c:extLst>
        </c:ser>
        <c:ser>
          <c:idx val="1"/>
          <c:order val="1"/>
          <c:tx>
            <c:strRef>
              <c:f>'MY0644_PYHI SI THU'!$T$1</c:f>
              <c:strCache>
                <c:ptCount val="1"/>
                <c:pt idx="0">
                  <c:v>MGR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'MY0644_PYHI SI THU'!$R$2:$R$11</c:f>
              <c:numCache>
                <c:formatCode>mmm\-yy</c:formatCode>
                <c:ptCount val="10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</c:numCache>
            </c:numRef>
          </c:cat>
          <c:val>
            <c:numRef>
              <c:f>'MY0644_PYHI SI THU'!$T$2:$T$11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7-4C28-A4C1-04BC6B6D4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95440"/>
        <c:axId val="44189680"/>
      </c:barChart>
      <c:dateAx>
        <c:axId val="44195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9680"/>
        <c:crosses val="autoZero"/>
        <c:auto val="1"/>
        <c:lblOffset val="100"/>
        <c:baseTimeUnit val="months"/>
      </c:dateAx>
      <c:valAx>
        <c:axId val="441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14</xdr:row>
      <xdr:rowOff>178594</xdr:rowOff>
    </xdr:from>
    <xdr:to>
      <xdr:col>15</xdr:col>
      <xdr:colOff>952500</xdr:colOff>
      <xdr:row>48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1359629-3FE5-4882-BAB9-4A9CFB810D30}"/>
            </a:ext>
          </a:extLst>
        </xdr:cNvPr>
        <xdr:cNvSpPr txBox="1"/>
      </xdr:nvSpPr>
      <xdr:spPr>
        <a:xfrm>
          <a:off x="11739562" y="195262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7BC5AF5-4BF6-49A3-9425-86259C0D57FC}"/>
            </a:ext>
          </a:extLst>
        </xdr:cNvPr>
        <xdr:cNvSpPr/>
      </xdr:nvSpPr>
      <xdr:spPr>
        <a:xfrm>
          <a:off x="6334123" y="119064"/>
          <a:ext cx="1697831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4109F3D-482D-43F4-B696-A4A00F44A90F}"/>
            </a:ext>
          </a:extLst>
        </xdr:cNvPr>
        <xdr:cNvSpPr/>
      </xdr:nvSpPr>
      <xdr:spPr>
        <a:xfrm>
          <a:off x="8472487" y="130969"/>
          <a:ext cx="1697832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5DEC314-1088-4AE5-A86D-AE408991AE5F}"/>
            </a:ext>
          </a:extLst>
        </xdr:cNvPr>
        <xdr:cNvSpPr/>
      </xdr:nvSpPr>
      <xdr:spPr>
        <a:xfrm>
          <a:off x="10527505" y="142875"/>
          <a:ext cx="1697831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59DA35A-A766-48F4-B568-72FDB0BFE608}"/>
            </a:ext>
          </a:extLst>
        </xdr:cNvPr>
        <xdr:cNvSpPr/>
      </xdr:nvSpPr>
      <xdr:spPr>
        <a:xfrm>
          <a:off x="12546805" y="142875"/>
          <a:ext cx="1697832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B8F9FE2-3086-4199-9BF9-3D6A366872EC}"/>
            </a:ext>
          </a:extLst>
        </xdr:cNvPr>
        <xdr:cNvSpPr/>
      </xdr:nvSpPr>
      <xdr:spPr>
        <a:xfrm>
          <a:off x="14623255" y="166687"/>
          <a:ext cx="1700213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56</xdr:row>
      <xdr:rowOff>178594</xdr:rowOff>
    </xdr:from>
    <xdr:to>
      <xdr:col>15</xdr:col>
      <xdr:colOff>952500</xdr:colOff>
      <xdr:row>90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E72FC8-6FEC-4BEF-96F6-48D80512005A}"/>
            </a:ext>
          </a:extLst>
        </xdr:cNvPr>
        <xdr:cNvSpPr txBox="1"/>
      </xdr:nvSpPr>
      <xdr:spPr>
        <a:xfrm>
          <a:off x="11739562" y="2988469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98</xdr:row>
      <xdr:rowOff>178594</xdr:rowOff>
    </xdr:from>
    <xdr:to>
      <xdr:col>15</xdr:col>
      <xdr:colOff>952500</xdr:colOff>
      <xdr:row>132</xdr:row>
      <xdr:rowOff>11905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EE2563-1467-46F2-BE16-83BA3594C0B1}"/>
            </a:ext>
          </a:extLst>
        </xdr:cNvPr>
        <xdr:cNvSpPr txBox="1"/>
      </xdr:nvSpPr>
      <xdr:spPr>
        <a:xfrm>
          <a:off x="11739562" y="1100137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140</xdr:row>
      <xdr:rowOff>178594</xdr:rowOff>
    </xdr:from>
    <xdr:to>
      <xdr:col>15</xdr:col>
      <xdr:colOff>952500</xdr:colOff>
      <xdr:row>174</xdr:row>
      <xdr:rowOff>11905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9E54DF-2A89-4C08-8E76-F70F13B4C653}"/>
            </a:ext>
          </a:extLst>
        </xdr:cNvPr>
        <xdr:cNvSpPr txBox="1"/>
      </xdr:nvSpPr>
      <xdr:spPr>
        <a:xfrm>
          <a:off x="11739562" y="19038094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182</xdr:row>
      <xdr:rowOff>178594</xdr:rowOff>
    </xdr:from>
    <xdr:to>
      <xdr:col>15</xdr:col>
      <xdr:colOff>952500</xdr:colOff>
      <xdr:row>216</xdr:row>
      <xdr:rowOff>11905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2618A05-051F-45BC-9D05-2E91AB7B7202}"/>
            </a:ext>
          </a:extLst>
        </xdr:cNvPr>
        <xdr:cNvSpPr txBox="1"/>
      </xdr:nvSpPr>
      <xdr:spPr>
        <a:xfrm>
          <a:off x="11739562" y="27051000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0</xdr:colOff>
      <xdr:row>0</xdr:row>
      <xdr:rowOff>301228</xdr:rowOff>
    </xdr:from>
    <xdr:to>
      <xdr:col>27</xdr:col>
      <xdr:colOff>428625</xdr:colOff>
      <xdr:row>15</xdr:row>
      <xdr:rowOff>20240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9C787-D788-694F-BBDE-35387E817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224</xdr:row>
      <xdr:rowOff>178594</xdr:rowOff>
    </xdr:from>
    <xdr:to>
      <xdr:col>15</xdr:col>
      <xdr:colOff>952500</xdr:colOff>
      <xdr:row>258</xdr:row>
      <xdr:rowOff>11905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61266D-E111-42FC-8EE0-0F497E7CABDC}"/>
            </a:ext>
          </a:extLst>
        </xdr:cNvPr>
        <xdr:cNvSpPr txBox="1"/>
      </xdr:nvSpPr>
      <xdr:spPr>
        <a:xfrm>
          <a:off x="11739562" y="35063907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266</xdr:row>
      <xdr:rowOff>178594</xdr:rowOff>
    </xdr:from>
    <xdr:to>
      <xdr:col>15</xdr:col>
      <xdr:colOff>952500</xdr:colOff>
      <xdr:row>300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6B8B42F-1CC5-4AF9-8BC1-B5A51A0461C0}"/>
            </a:ext>
          </a:extLst>
        </xdr:cNvPr>
        <xdr:cNvSpPr txBox="1"/>
      </xdr:nvSpPr>
      <xdr:spPr>
        <a:xfrm>
          <a:off x="11739562" y="43076813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308</xdr:row>
      <xdr:rowOff>178594</xdr:rowOff>
    </xdr:from>
    <xdr:to>
      <xdr:col>15</xdr:col>
      <xdr:colOff>952500</xdr:colOff>
      <xdr:row>342</xdr:row>
      <xdr:rowOff>11905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0BBA2F-A07A-4ECE-AB8F-A28A970C9728}"/>
            </a:ext>
          </a:extLst>
        </xdr:cNvPr>
        <xdr:cNvSpPr txBox="1"/>
      </xdr:nvSpPr>
      <xdr:spPr>
        <a:xfrm>
          <a:off x="11739562" y="51089719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350</xdr:row>
      <xdr:rowOff>178594</xdr:rowOff>
    </xdr:from>
    <xdr:to>
      <xdr:col>15</xdr:col>
      <xdr:colOff>952500</xdr:colOff>
      <xdr:row>384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CB25330-8FFB-4826-B500-00CB69B690E9}"/>
            </a:ext>
          </a:extLst>
        </xdr:cNvPr>
        <xdr:cNvSpPr txBox="1"/>
      </xdr:nvSpPr>
      <xdr:spPr>
        <a:xfrm>
          <a:off x="11739562" y="5910262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392</xdr:row>
      <xdr:rowOff>178594</xdr:rowOff>
    </xdr:from>
    <xdr:to>
      <xdr:col>15</xdr:col>
      <xdr:colOff>952500</xdr:colOff>
      <xdr:row>426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912795-3354-468E-804B-DADE910E74BD}"/>
            </a:ext>
          </a:extLst>
        </xdr:cNvPr>
        <xdr:cNvSpPr txBox="1"/>
      </xdr:nvSpPr>
      <xdr:spPr>
        <a:xfrm>
          <a:off x="11739562" y="6711553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434</xdr:row>
      <xdr:rowOff>178594</xdr:rowOff>
    </xdr:from>
    <xdr:to>
      <xdr:col>15</xdr:col>
      <xdr:colOff>952500</xdr:colOff>
      <xdr:row>468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B7C97DD-CFEF-4324-AEA3-4026B1F3FB12}"/>
            </a:ext>
          </a:extLst>
        </xdr:cNvPr>
        <xdr:cNvSpPr txBox="1"/>
      </xdr:nvSpPr>
      <xdr:spPr>
        <a:xfrm>
          <a:off x="11739562" y="75128438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476</xdr:row>
      <xdr:rowOff>178594</xdr:rowOff>
    </xdr:from>
    <xdr:to>
      <xdr:col>15</xdr:col>
      <xdr:colOff>952500</xdr:colOff>
      <xdr:row>510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D6D75D-1347-4D42-BE95-A8B7C7BB9AFF}"/>
            </a:ext>
          </a:extLst>
        </xdr:cNvPr>
        <xdr:cNvSpPr txBox="1"/>
      </xdr:nvSpPr>
      <xdr:spPr>
        <a:xfrm>
          <a:off x="11739562" y="75128438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8C3D9B-502A-4009-956E-7DB171344318}"/>
            </a:ext>
          </a:extLst>
        </xdr:cNvPr>
        <xdr:cNvSpPr txBox="1"/>
      </xdr:nvSpPr>
      <xdr:spPr>
        <a:xfrm>
          <a:off x="11720512" y="19597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CD57018-5090-4563-BF6F-03C64303295B}"/>
            </a:ext>
          </a:extLst>
        </xdr:cNvPr>
        <xdr:cNvSpPr/>
      </xdr:nvSpPr>
      <xdr:spPr>
        <a:xfrm>
          <a:off x="6334123" y="119064"/>
          <a:ext cx="1697831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76F6107-CD49-462C-9547-8C3E7FE0AB66}"/>
            </a:ext>
          </a:extLst>
        </xdr:cNvPr>
        <xdr:cNvSpPr/>
      </xdr:nvSpPr>
      <xdr:spPr>
        <a:xfrm>
          <a:off x="8472487" y="130969"/>
          <a:ext cx="1697832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F421C8A-4653-4C8F-AFA9-DB6E4F67698D}"/>
            </a:ext>
          </a:extLst>
        </xdr:cNvPr>
        <xdr:cNvSpPr/>
      </xdr:nvSpPr>
      <xdr:spPr>
        <a:xfrm>
          <a:off x="10527505" y="142875"/>
          <a:ext cx="1697831" cy="426243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</xdr:col>
      <xdr:colOff>2974180</xdr:colOff>
      <xdr:row>0</xdr:row>
      <xdr:rowOff>0</xdr:rowOff>
    </xdr:from>
    <xdr:to>
      <xdr:col>3</xdr:col>
      <xdr:colOff>61912</xdr:colOff>
      <xdr:row>1</xdr:row>
      <xdr:rowOff>130968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BFAF5E5-6737-48CB-83E0-A244A1D053C1}"/>
            </a:ext>
            <a:ext uri="{147F2762-F138-4A5C-976F-8EAC2B608ADB}">
              <a16:predDERef xmlns:a16="http://schemas.microsoft.com/office/drawing/2014/main" pred="{2F421C8A-4653-4C8F-AFA9-DB6E4F67698D}"/>
            </a:ext>
          </a:extLst>
        </xdr:cNvPr>
        <xdr:cNvSpPr/>
      </xdr:nvSpPr>
      <xdr:spPr>
        <a:xfrm>
          <a:off x="3355180" y="0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802480</xdr:colOff>
      <xdr:row>0</xdr:row>
      <xdr:rowOff>195262</xdr:rowOff>
    </xdr:from>
    <xdr:to>
      <xdr:col>15</xdr:col>
      <xdr:colOff>578643</xdr:colOff>
      <xdr:row>2</xdr:row>
      <xdr:rowOff>135730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C06EE0E-FC71-405F-A4A0-99FFF81E2E64}"/>
            </a:ext>
            <a:ext uri="{147F2762-F138-4A5C-976F-8EAC2B608ADB}">
              <a16:predDERef xmlns:a16="http://schemas.microsoft.com/office/drawing/2014/main" pred="{ABFAF5E5-6737-48CB-83E0-A244A1D053C1}"/>
            </a:ext>
          </a:extLst>
        </xdr:cNvPr>
        <xdr:cNvSpPr/>
      </xdr:nvSpPr>
      <xdr:spPr>
        <a:xfrm>
          <a:off x="15413830" y="195262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DD8F89B-BFEA-4FF9-89D3-91C2A33C42A1}"/>
            </a:ext>
          </a:extLst>
        </xdr:cNvPr>
        <xdr:cNvSpPr txBox="1"/>
      </xdr:nvSpPr>
      <xdr:spPr>
        <a:xfrm>
          <a:off x="11720512" y="1100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1A00260-39D5-4F6C-9E1E-E43109B16517}"/>
            </a:ext>
          </a:extLst>
        </xdr:cNvPr>
        <xdr:cNvSpPr txBox="1"/>
      </xdr:nvSpPr>
      <xdr:spPr>
        <a:xfrm>
          <a:off x="12727781" y="1100137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6A71954-7F5E-47D4-8A74-273B1D7F55A1}"/>
            </a:ext>
          </a:extLst>
        </xdr:cNvPr>
        <xdr:cNvSpPr txBox="1"/>
      </xdr:nvSpPr>
      <xdr:spPr>
        <a:xfrm>
          <a:off x="12711112" y="31789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85CBB1A-8F16-4C4B-91F1-4775F666472D}"/>
            </a:ext>
          </a:extLst>
        </xdr:cNvPr>
        <xdr:cNvSpPr txBox="1"/>
      </xdr:nvSpPr>
      <xdr:spPr>
        <a:xfrm>
          <a:off x="12711112" y="11199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C24275-67CB-477C-AE51-8F0EC1FC0DC2}"/>
            </a:ext>
          </a:extLst>
        </xdr:cNvPr>
        <xdr:cNvSpPr txBox="1"/>
      </xdr:nvSpPr>
      <xdr:spPr>
        <a:xfrm>
          <a:off x="12711112" y="19219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20</xdr:col>
      <xdr:colOff>333375</xdr:colOff>
      <xdr:row>0</xdr:row>
      <xdr:rowOff>15478</xdr:rowOff>
    </xdr:from>
    <xdr:to>
      <xdr:col>27</xdr:col>
      <xdr:colOff>71438</xdr:colOff>
      <xdr:row>13</xdr:row>
      <xdr:rowOff>139303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B0E15-A3C6-7A47-578B-FEE1D60D6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09252-B32C-4F9E-B025-9F0DC89466D4}"/>
            </a:ext>
          </a:extLst>
        </xdr:cNvPr>
        <xdr:cNvSpPr txBox="1"/>
      </xdr:nvSpPr>
      <xdr:spPr>
        <a:xfrm>
          <a:off x="12727781" y="19204782"/>
          <a:ext cx="4786313" cy="6476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9CA367-5B37-4193-AC73-DE816A4D87F7}"/>
            </a:ext>
          </a:extLst>
        </xdr:cNvPr>
        <xdr:cNvSpPr txBox="1"/>
      </xdr:nvSpPr>
      <xdr:spPr>
        <a:xfrm>
          <a:off x="12727781" y="19204782"/>
          <a:ext cx="4786313" cy="6476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4F08804-3B78-42DE-A860-C8832ECF10B5}"/>
            </a:ext>
          </a:extLst>
        </xdr:cNvPr>
        <xdr:cNvSpPr txBox="1"/>
      </xdr:nvSpPr>
      <xdr:spPr>
        <a:xfrm>
          <a:off x="12727781" y="28086844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0D573F-FA44-4A1E-B7FC-941F0EFBE31D}"/>
            </a:ext>
          </a:extLst>
        </xdr:cNvPr>
        <xdr:cNvSpPr txBox="1"/>
      </xdr:nvSpPr>
      <xdr:spPr>
        <a:xfrm>
          <a:off x="12727781" y="28086844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C93469-D443-4A89-A0F6-56FC2EFABF58}"/>
            </a:ext>
          </a:extLst>
        </xdr:cNvPr>
        <xdr:cNvSpPr txBox="1"/>
      </xdr:nvSpPr>
      <xdr:spPr>
        <a:xfrm>
          <a:off x="12727781" y="36968907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1BEF1E-F02C-4F36-A598-B4908EF78CD9}"/>
            </a:ext>
          </a:extLst>
        </xdr:cNvPr>
        <xdr:cNvSpPr txBox="1"/>
      </xdr:nvSpPr>
      <xdr:spPr>
        <a:xfrm>
          <a:off x="12727781" y="36968907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100C8CF-7BA3-4944-A17A-ECA018553A05}"/>
            </a:ext>
          </a:extLst>
        </xdr:cNvPr>
        <xdr:cNvSpPr txBox="1"/>
      </xdr:nvSpPr>
      <xdr:spPr>
        <a:xfrm>
          <a:off x="12727781" y="44981813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1D4A8E6-A02B-464B-ACB2-519115149101}"/>
            </a:ext>
          </a:extLst>
        </xdr:cNvPr>
        <xdr:cNvSpPr txBox="1"/>
      </xdr:nvSpPr>
      <xdr:spPr>
        <a:xfrm>
          <a:off x="12727781" y="44981813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0E419E3-7763-4B8F-8C54-CA39DA25C2D6}"/>
            </a:ext>
          </a:extLst>
        </xdr:cNvPr>
        <xdr:cNvSpPr txBox="1"/>
      </xdr:nvSpPr>
      <xdr:spPr>
        <a:xfrm>
          <a:off x="12727781" y="4567237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7D8587D-9717-4167-B99B-E49A5EC734A0}"/>
            </a:ext>
          </a:extLst>
        </xdr:cNvPr>
        <xdr:cNvSpPr txBox="1"/>
      </xdr:nvSpPr>
      <xdr:spPr>
        <a:xfrm>
          <a:off x="12727781" y="45672375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5360B70-6DD9-40CE-8639-9955504E6443}"/>
            </a:ext>
          </a:extLst>
        </xdr:cNvPr>
        <xdr:cNvSpPr txBox="1"/>
      </xdr:nvSpPr>
      <xdr:spPr>
        <a:xfrm>
          <a:off x="12727781" y="5368528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FBA211A-B819-4C93-BA5C-E60BA7280D62}"/>
            </a:ext>
          </a:extLst>
        </xdr:cNvPr>
        <xdr:cNvSpPr txBox="1"/>
      </xdr:nvSpPr>
      <xdr:spPr>
        <a:xfrm>
          <a:off x="12727781" y="5368528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331D3DD-2FD1-4431-8B55-AD74F8FF3F73}"/>
            </a:ext>
          </a:extLst>
        </xdr:cNvPr>
        <xdr:cNvSpPr txBox="1"/>
      </xdr:nvSpPr>
      <xdr:spPr>
        <a:xfrm>
          <a:off x="12727781" y="69711094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8089A88-52C8-4B93-8537-B1F7A91A43B4}"/>
            </a:ext>
          </a:extLst>
        </xdr:cNvPr>
        <xdr:cNvSpPr txBox="1"/>
      </xdr:nvSpPr>
      <xdr:spPr>
        <a:xfrm>
          <a:off x="12727781" y="69711094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4D676F2-2559-47F7-986C-204C6BE04A52}"/>
            </a:ext>
          </a:extLst>
        </xdr:cNvPr>
        <xdr:cNvSpPr txBox="1"/>
      </xdr:nvSpPr>
      <xdr:spPr>
        <a:xfrm>
          <a:off x="12727781" y="6730603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E93C241-63E3-4E00-A3C1-484521E0F751}"/>
            </a:ext>
          </a:extLst>
        </xdr:cNvPr>
        <xdr:cNvSpPr txBox="1"/>
      </xdr:nvSpPr>
      <xdr:spPr>
        <a:xfrm>
          <a:off x="12727781" y="6730603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25E09A3-6D3D-4851-BA85-D3B185898872}"/>
            </a:ext>
          </a:extLst>
        </xdr:cNvPr>
        <xdr:cNvSpPr txBox="1"/>
      </xdr:nvSpPr>
      <xdr:spPr>
        <a:xfrm>
          <a:off x="12727781" y="6730603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D59DD2A-3A68-4E0B-A3C9-5A6FF30B24B3}"/>
            </a:ext>
          </a:extLst>
        </xdr:cNvPr>
        <xdr:cNvSpPr txBox="1"/>
      </xdr:nvSpPr>
      <xdr:spPr>
        <a:xfrm>
          <a:off x="12727781" y="67306032"/>
          <a:ext cx="4786313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E4D3AD-7AB3-4939-813D-3B75D9A05787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FDCFA87-DA4B-4031-B052-6E02C9EC902F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76F8E15-22B6-4CA3-B9BE-93301C36DFF4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3862935-8FE8-4FDD-9243-79243F944BB5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3F21099-9CE8-4D7B-969D-66307EA7F5F7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D159341-E85C-4F3F-AB5B-CA5174947823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A591663-AC3F-4632-ACEC-543DCCFEE20E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D90603-A1A8-41A6-B3A9-F0C14A363FE3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FDED0ED-6500-41DF-8611-4AA290C3AADF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051ED4D-8439-41EA-9D69-8635EF049712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0B45E83-FF90-462D-8950-5C7C071A3924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0</xdr:colOff>
      <xdr:row>0</xdr:row>
      <xdr:rowOff>289322</xdr:rowOff>
    </xdr:from>
    <xdr:to>
      <xdr:col>27</xdr:col>
      <xdr:colOff>428625</xdr:colOff>
      <xdr:row>15</xdr:row>
      <xdr:rowOff>44053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6C54D30-FB22-49E1-A0D9-056B3C89E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6F849E8-B58C-4A48-AEFB-73C3AC153F0A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33EF245-4142-427C-A124-C878FA022ED1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B8B524E-E44D-4C6E-992C-B4F2E7170FAC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570A84-4020-45A3-AA8B-DF13AEDC057B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9F9DAC3-6602-436E-9D9E-BC75407ADCE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AAD745B-744A-4D72-A1BC-E7F18A568D81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3BDE027-6A1F-408E-A3A6-20474BAE4BB0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FFF76B8-E7D7-4291-8862-5E41D2B20DE7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86310F3-736D-4039-A12C-CA00C569628B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4572AC-9B01-4246-9657-8D009A813F57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A92FE8B0-6342-421E-A8B4-D7F69F8DE114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DB87CF0-F6A6-42C5-8D8F-057872B6CC9C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A5ED696-447E-46CC-8FD4-E3267FCED4FF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359BAB4-F933-467A-AC11-249A3B57986E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6BD3CAA-EF36-4984-9979-2BDD09229356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2B046A0-9976-40B8-82F8-8DA788FF8DD0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53089CA-4CEC-4C01-B25F-D3B2EBC29B5E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AAED1D7-9AAD-4D58-945B-8AB9F1E0E080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55B3CBD-5E6E-4679-8F59-9BEAEE6D1214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096E40E-D725-41AA-8D71-EEEF35CAA041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75C90EC-CA77-42E4-A216-038D37A371B9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7EDAAFB-2F72-454A-9BA2-13BA2D6B40F1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7349363-B8E0-4A91-81DD-695B135605C3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6898F00-7269-4CFF-A84F-3843ADD3F462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71BCBFF-7B65-4DC2-AD5B-B5E62A3048B3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26ACA72-3FD2-4B54-85DE-92D98ECC9FA2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692A13B-7B48-4E70-9F50-F3612C45420E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1E0EB28-0EB1-4D5E-A17F-3BD372E24E85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BB934B4-8A96-424A-BB5E-0C311A764E31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DFFF985-C0CA-41C1-AE69-87165F7A40D0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95A9781-B52A-4C6A-B0FD-D033FBEB8955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ABB1759-FF56-4DB5-8570-AB1027BB8819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2F0BB9E-D392-4389-A553-1C5B2ACB4C7F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99752D6-C2C7-401B-BF52-27E212158960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708D7AE-C081-40F0-B073-FB5FB20E550D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A7CD337-F5EA-48EF-8920-C12AEDA1F317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1301D97-61D9-448E-A02B-FA9B93C1F536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6A0635E-2E71-48F4-BBCF-98C19094D5D5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59689E-67AE-4169-AD85-4DC7A8239521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444B205-5B51-4143-8728-CA7379240933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3994C73-33E6-4809-BBAF-57C059B402AE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99318B6-A9FF-49FE-AFDE-1BB3EE0D5205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2551E3A-DADB-4C60-9298-456DDF74DDD0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B7E2FD8-76D6-4401-BD61-8753D4D112DC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D7E86F-567E-45A5-92D3-C466D9D237A7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E0926C-43DB-442C-A64A-252ED132441F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7072E1-473A-4D8A-9A2B-05B27E519C90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9F54931-3D87-45EB-B598-8E5D771827A6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C9AD56C-A9C8-46E4-A4B1-8594636A723B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11907</xdr:colOff>
      <xdr:row>0</xdr:row>
      <xdr:rowOff>289321</xdr:rowOff>
    </xdr:from>
    <xdr:to>
      <xdr:col>27</xdr:col>
      <xdr:colOff>440532</xdr:colOff>
      <xdr:row>15</xdr:row>
      <xdr:rowOff>44052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CD567EB-6F3B-4946-9EDC-AB9E79AD2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2F3E651-E0C1-44D8-8A79-71CCB82757B5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9D7160-172A-427D-BF47-ED0C6E89B512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DF15C4B-108C-4DAC-8B51-F8251869293C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DC1585C-0221-4932-8C90-3BAE4303B4AC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1318BFA-51FF-420B-8BD5-2CF8AEAFF34E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4C726C9-7F57-4E31-A5DB-0806A4B7B49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72BF90-CC12-4C0F-819F-9A2D86746FF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127E47-118A-4461-B8B8-7BAA3641B0F6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3139D80-28F6-4FC8-ABB1-90F492348798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14AD89A-A2C2-409D-B0E4-DC5F7C733C84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4BB006-4639-4577-BDEF-86F8585C9222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23B7088E-6A3A-4585-8446-16A735D72755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21DEE2-6D96-4D06-9C36-2D79702E28A9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E331806-BA5F-47DF-A4FE-4D6C5C7A3E3B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98D118C-CC92-46C2-ADEC-B35098CDA790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616D223-909F-4050-A583-78B82FD2C89C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33616B0-F639-442D-87CA-C620110CE260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D75091A-4985-4072-8BD7-4BA03C6A44CE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3EC0FD5-6853-43D4-9ECD-6301568A94B1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A9C3744-AF0E-483F-B86A-798F855FEEA6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02B6247-DD28-4692-9A21-64D115AE5097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56D07B2-C8B6-4BF3-BADC-BB1D9574A9D5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072E8A7-6FE5-4CF6-8ED9-D4409AFE1083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283F7D-FBE2-4DCC-BD6B-A7FDE0C9CE37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A3A144D-E851-47ED-A9AE-E6CABDAABC13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D3D784F-5E61-42B7-AAF9-66E7D32077C2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C141942C-4117-4D66-9E5A-E85C1D6DE927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1E5F850-EEC7-4849-91D5-22996CABE44B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D580A55-B538-46B0-9120-9831BED09D62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C9C969E-F022-46C9-A872-E7F058DED723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7192BAC-3053-49B9-9EED-1BD06A13B750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27581D3-5C49-4326-97E9-4FB4184B30A7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C98C2C0-9C66-4818-8801-C239D025E531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B0332CA-C501-4206-BE60-4774A554D776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C93D7F8-240F-4058-9CBF-E051E40DE478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414B137-FBB6-44A1-AEB0-7A4E50AABB98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783E125-8D58-49C5-9852-5C975DB83B7C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14CCCEE-99E9-4FFA-B091-18AD3C1C90B1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E56BEF-A77C-47CA-8085-F86CF9829C85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3284BEB-93D0-429C-99E9-BC57DFBADD3E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651C107-CCE5-4C34-A199-2AD4240CF1D3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CDB1842-AC32-4AB2-96BF-DE5934D824CA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C6EC00A-7D79-4564-AE99-DE95BDF98FCA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E2EB662-A672-4E86-BDAE-AAA352E75CF8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10E54F-943C-4EC0-8D24-6531FE11AE05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761171-DE02-4B56-8B92-4898A2E70BB6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19267C-17BC-42D7-BB57-045A486A09C6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D97BD7-5BDE-4E36-AB26-C16ABB7B1F5B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F78CC9-E2C8-4853-8613-90CE06CCA36F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11907</xdr:colOff>
      <xdr:row>0</xdr:row>
      <xdr:rowOff>289321</xdr:rowOff>
    </xdr:from>
    <xdr:to>
      <xdr:col>27</xdr:col>
      <xdr:colOff>440532</xdr:colOff>
      <xdr:row>15</xdr:row>
      <xdr:rowOff>44052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44EF09-2749-40D9-9778-B8426A660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6B9477-7013-429B-9FE7-E57A42BBC96F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13FB472-C50B-48C5-9F39-D88E4428F7CF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B561ADE-CF2F-4A15-81D9-A7AEE564D1C0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22DA0E-ED02-4CCE-8480-ED5648F1D1C7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741FFDF-1C7F-428C-A2C3-FEA1A4940B98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22A129B-9E93-4E85-BB19-8BE8C8B8E1D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01A528-2BC7-43B6-AB39-7156FF239E7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9FB7A45-0081-4230-9635-74B2C1E3AFE4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58489BC-907D-41BF-9C3B-1675646801B5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39BDD2-EFDD-4979-9DAB-8E0CE9D32551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742C7FF-6545-4454-B17D-8ED94816457A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C666B34-C664-4260-AB34-F893F1AFD1DC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9E2A37B-8B43-4C13-85B5-9CFDD79BB33D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86F15CC-00B3-47B5-BB1E-1C7DB088B7B1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7C1E492-55BA-4CAF-9132-B1529CD119B8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AC59CD7-0B18-4212-B9F5-9370052191C8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27BF316-617B-4163-B4F2-5782792DD499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5CB4BF7-6C3C-4E8B-A265-7387FD10EA91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D2A11EB-64CE-4FEC-B732-95723DFBF874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F8B5736-6FED-4FBF-ABE2-05950C735A78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71E4F9E-BD18-4B0A-88B1-98631743030F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135F7AA-3DB7-4E6F-8EB3-63BD8160D55A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62D4F7F-C1A3-478C-B605-66CAE1FB86B1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78A05CD-C773-465A-8734-DB27B2835FEB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1DE1C90-A34B-41DC-8C8A-A4DDADE34EC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62848702-9838-4478-BA4B-68A09296DF2F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9781A64-B89C-425B-8BD0-028AAA6D70A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FFB66DB-13CE-4ABA-9232-489DB5FE1E76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F15EF5A-9987-480A-86BF-0B7DF9C634BB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BEF3E55-A593-4E60-8B06-3EE8F88237D3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BEA4AD4-BC54-463F-9546-128867ED30CE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7857E7F-9EF8-4B86-B6FD-C0DB1D739963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9C09000-6A0A-4A15-9A96-FCACB4E67F31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7BAF908-42C6-4E7F-A264-85F1AD125B0F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10E8957-3ED1-40D5-8895-33067F1FE32B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3751A71-957E-40D6-8DAB-B57ADBBB2074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5C64A981-4FA9-4619-AC5D-587F6A750C57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48EC73-00A4-42DD-A27B-1B9377462582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8CBECC-C58B-47DB-942F-C07D393569D4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1358075-516D-430D-A230-F8F4A84041CF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1BAC77A-465E-4D38-BAA7-920B315A06B8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7ADBF0D-4A74-47B3-8BA1-B8F79D7BA8CA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8875294-55AB-4122-B7A8-767A75342F19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EE5CB59-BEE1-4D4B-99FB-538710567B94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766D72-47EF-40FF-A6C8-B625C24C6CF6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1575F3-534D-4688-A828-3159A987A153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8FC102-9AE9-41A2-883A-F5334663ED9F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E759FAE-FAC6-447A-98A4-5CDC48151ECF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C6EE7E2-84A8-4A09-9D3D-BE9301EE95D2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11907</xdr:colOff>
      <xdr:row>0</xdr:row>
      <xdr:rowOff>289321</xdr:rowOff>
    </xdr:from>
    <xdr:to>
      <xdr:col>27</xdr:col>
      <xdr:colOff>440532</xdr:colOff>
      <xdr:row>15</xdr:row>
      <xdr:rowOff>44052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DEB374F-9740-44AD-819A-6C57D1EC5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21E0532-FD0C-493D-8308-C3001E3267E8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E594862-59BE-4015-99C2-73996CB37700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7D22961-1CFC-427D-86DC-C2395A32597B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AAA92D0-0CB2-42CD-BD85-686BB69E98FF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572B8B5-2065-4A42-AF62-73A1638AB498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55FF7BA-55D8-4B9A-B862-6AB07F6D4DBC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BB79A46-3F5B-4C46-AAC0-25F038E03D30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AF18F81-A2FA-4CFD-B6CE-4E2BCC806CBE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25F3CC-2F60-4F5A-8A3D-C03CC82F30A9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95E4B67-FCC4-45F7-84FA-6C356BFC1980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2811EB6-2DCC-4BD5-AA30-C46EBB2D48C3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A319D26-650E-4707-8B78-72AA55A79C9D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AD58267-A8FD-48DF-A8DC-214FB02673E4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04392D6-A662-4DBE-ABEA-ECD2C4B7DAE5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BA0DA90-66BD-4075-9CFA-3320F90B70D2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7D6006D-A742-4E38-B3FB-C121AF4AB6CA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5A9B39A-1242-45D1-B071-8971A451EEA9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8E28C16-8F16-4F36-B008-CD8D50D5058E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58560FC-FBEB-4C77-8360-635FCE63DC39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A77E91F-1075-42D3-9777-F12AC48A290E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6BC4BD3-CBB0-437C-B458-44AE396A395E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F229B29-2E5D-4C47-A013-19B4A5C718BA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64E1467-ECBB-4834-9402-2A2E9298CED1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670CBAA-DB6C-4A49-9DC8-447BB3DF2B78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8E0EC6F-5750-4703-AFF4-852011182E8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A9146C2-BE62-4780-9109-B2DA94D7731B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8C07A0A-660A-4215-BA1F-CEDA71EF59A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6D0F0A-20A5-4E21-98C9-4353C333FAB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BEC1208-11B8-40F2-A4E8-18DC8B0023B1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B9F158B-F2CF-4675-8DCD-D7B56FDE367A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17389C2-8BE9-4E37-8D63-EADC3D0640E9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7E4434B-5851-476E-9A6C-A12F5ECDE00E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A93E2DB-0849-4C64-9CC6-6DF0DC3E497A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0FE80A7-BC22-419D-9E02-5A244CF67D02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136FAFD-D91E-4476-A164-C71FE476740D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71FF582-86A8-4154-BE04-365A1617480C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EC2D585-EF8E-48D9-B0D5-2AAD1177FC97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504AC78-4837-4CB7-8F14-C01C5A0F9887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8AF68D-1969-4CB7-AFE1-53EBB799ED73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1792788-A725-4D61-A67C-8A412B93CBC2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6C4E3F2-6378-4548-B3C4-B55C42435531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7F698C3-DE26-4C0C-9A25-3F187A598C6A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D79F51B-2311-4416-A631-B87240CE73C0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3D33839-6A9D-499A-8B42-4D1CFF5E517B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C8BC2E-2313-4163-A75A-FCCCAE09D7CC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60E83A-47D5-4D95-AD68-BD408D5C1BCC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324B71-1698-403A-B9BB-53C06406BCE8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4E296A-88F4-4C79-B59F-04667010F436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DDACC8-30CF-4DCB-84D8-C4AF00A99203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0</xdr:colOff>
      <xdr:row>0</xdr:row>
      <xdr:rowOff>289322</xdr:rowOff>
    </xdr:from>
    <xdr:to>
      <xdr:col>27</xdr:col>
      <xdr:colOff>428625</xdr:colOff>
      <xdr:row>15</xdr:row>
      <xdr:rowOff>44053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E47B76-8176-41E4-BF70-90156820F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30B26E-8D36-41D3-96D5-2AAE814BF885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6ABC31-EF5D-45FB-AEAC-5B88590FCDB2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294E643-E0A6-4979-BEE4-C217F37C3A4C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5DAEE2-7053-4EA0-803F-C0E33344F767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EF14BB2-AC58-4046-A694-DA47DDC0E765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389847F-A928-44BD-89C8-CC48B9B81828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700EECE-3241-429B-9CE7-13DE71926C51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B947F3D-59E6-48BE-B83A-01A73A102D43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34E6DC-B878-4335-BA1E-CF540C9FA94A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71F748E-927D-41C0-BAAF-BA0BC64EE9D8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A7E5FD3-99AE-44DC-B3FD-98F418955068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9187982-F1E6-43CD-A8B1-E938BDACB966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FABD146-5E0E-4708-A2D0-8E12710EE854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893E789-8920-4552-B26C-4B8B913804FE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E16FC18-5610-4437-A223-3A07F28CBED1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6CB49FB-A888-4603-A48B-E7504742F3DE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8C71417-C733-4C96-BF81-4755A6EA79D8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E96BA99-ACC4-4DDD-8F56-67C7E4953BB7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6CE317D-9DB2-4CED-AB97-03B7E631CDD1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4568108-FB60-4DEB-95F5-72AA1D665A8E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096601B-BAB5-42B3-BD3B-F68DF51F1219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AFB389F-B939-45A2-8EEA-A3B562C9285C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706F82A-8F58-4F78-8D23-E041E789D8E0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E41E106-A363-48C9-9AD5-21D18F5B9E70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B01F2-E41A-47FF-BBCF-47DAF1D8AD61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C7F7610-5E3B-4255-8C3E-2DA3957CD2CD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DA4189E-0EA6-4F70-A20A-CE2CF98EEA2C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E4E49E4-D420-4C0D-AFDD-893B662B938C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1988E3A-FE3A-42F4-B5F4-63CB7C36D1A1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493D6A6-5BC8-46E9-8130-7B6E994F7942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FF04AD2-E743-4F88-8031-7CA8FBE668FD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B869246-D79E-4F0F-817C-1AA7910CF0EA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7452224-951D-4C84-8B39-71CE9F8E6093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3A8AD03-4C4F-42F4-8320-DCE412C02057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9F33DB1-AE0D-4D1B-A25F-851B9741731A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43A5924-A97F-4CB4-9016-C3FDC7CA2991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7CB2A19-3616-406F-811B-E4FE77D28078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50F003C-9C5A-4D59-B4C3-0E1745AAE996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11A260-17DC-48E6-ABBD-07CB9440BF74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2EB7F5A-C341-444E-BE95-6D57E0DFF68F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1C90E0F-C35A-4EFB-AF63-EA6624CF1B4E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684BFCD-DE94-4E69-95D3-387652B1C1EB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A67AA24-5B0D-4E60-85FC-7263C29CBE51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701C036-5114-4697-98E4-8F363DFEF3B7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7D9AFA1-AF68-44B4-AF29-D5530453031C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BEFAD5-290F-4CE8-AF63-E80EF3565240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36891F-6892-4F35-8342-014BAB8C2AE4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E8F067-D65C-4A8D-93EE-81E8B264E9A1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69C1E5-1062-482F-A63E-2F7F1C82D731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0</xdr:colOff>
      <xdr:row>0</xdr:row>
      <xdr:rowOff>289322</xdr:rowOff>
    </xdr:from>
    <xdr:to>
      <xdr:col>27</xdr:col>
      <xdr:colOff>428625</xdr:colOff>
      <xdr:row>15</xdr:row>
      <xdr:rowOff>44053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BDE758-8E23-4054-9F97-6588F0E25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54C40B2-EAF9-4614-8AF4-1C35450BCBEC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A4EED04-FB48-4B34-81EC-E354241922D4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798C027-F0A3-4BB4-9990-508907A7927E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E96911F-7A9F-456D-83D3-C27068982CAA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6A0BD93-7B86-4A43-986D-38B3028B666E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A08EEAE-79CE-4A48-A123-FDF77781088C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895648F-9DBF-4631-BD37-237913938ED0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13B60C4-5943-46C6-9987-6BB50F36B32B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3393A2C-CF5D-49AB-8922-2DACB3827256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073F9D8-915A-40FD-B465-98D27B02E083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F4304BE-2048-48ED-978D-FDD5E0CC89DB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FC069FA-04ED-43BA-9521-9A3F4FF12E3F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B9D0B33-6C6B-4D3A-A469-E58B2B95C0FB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BDE236F-3FEC-4E68-B2E1-6D0B9586694D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553FDD1-6E04-4AA3-9A53-D61A4C3CD369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23DA52F-E773-44AE-8F85-2B66B312434C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72EA478-8256-4B65-802A-9693A9BD7015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DD3B9FA-D605-49BD-9B4E-20C63484A65A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09B4092-C659-4184-920A-2157315FBCFC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5D9F590-0D7F-424B-8CE1-44AE01FB6BB0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40DBD16-61F8-4C2E-BA95-CC30CC22F4F9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D789A5F-7D8D-4640-A99D-DE6DA5D01014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DBD1F2C-0FBC-425C-85A5-BE2B7E2904D5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F822E1C-677D-411B-9F19-CA4AEC93A0B5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61CAB4D-BB0C-4D94-A914-BBC0BD4EA34F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1B83DC6-7296-48DB-B424-4A388D5F6FF3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31A3830-B25B-4A24-A772-D8B9DFAE10CF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1721D4B-0970-4712-88A2-DC9DFC84B726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7DD2855-34A3-4069-A504-DDB01961AF79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3138E8C-1F22-416B-9CC2-ABA418E5165D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64594B9B-9F1A-4C9F-B251-E4CE28AC0B45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0C33C02-C984-494D-9D9A-66885E120D04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DF7DF53-0D43-4E45-A3C2-C886C13C5B4B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943B067-29C7-4E6E-B550-EDC210DF6F1C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86C5A71-055E-4DEB-A5B4-9A010B915975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69967337-3CAC-437D-9725-3F5E8760ADF3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66B8C571-E069-421E-AF98-6B313243CE5A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FF88D8C-8992-4B75-A829-52DBA31B1621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BAA2E-134C-43BF-B178-41370B7F2EE5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4</xdr:col>
      <xdr:colOff>380998</xdr:colOff>
      <xdr:row>0</xdr:row>
      <xdr:rowOff>119064</xdr:rowOff>
    </xdr:from>
    <xdr:to>
      <xdr:col>6</xdr:col>
      <xdr:colOff>154779</xdr:colOff>
      <xdr:row>2</xdr:row>
      <xdr:rowOff>59532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E3C43AC-0786-44F4-88CC-9D141E746981}"/>
            </a:ext>
          </a:extLst>
        </xdr:cNvPr>
        <xdr:cNvSpPr/>
      </xdr:nvSpPr>
      <xdr:spPr>
        <a:xfrm>
          <a:off x="6334123" y="119064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1.SANGAT TERUK</a:t>
          </a:r>
        </a:p>
      </xdr:txBody>
    </xdr:sp>
    <xdr:clientData/>
  </xdr:twoCellAnchor>
  <xdr:twoCellAnchor>
    <xdr:from>
      <xdr:col>6</xdr:col>
      <xdr:colOff>595312</xdr:colOff>
      <xdr:row>0</xdr:row>
      <xdr:rowOff>130969</xdr:rowOff>
    </xdr:from>
    <xdr:to>
      <xdr:col>8</xdr:col>
      <xdr:colOff>369094</xdr:colOff>
      <xdr:row>2</xdr:row>
      <xdr:rowOff>71437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325F581-2758-4F10-8FA3-DB1BCD57F28C}"/>
            </a:ext>
          </a:extLst>
        </xdr:cNvPr>
        <xdr:cNvSpPr/>
      </xdr:nvSpPr>
      <xdr:spPr>
        <a:xfrm>
          <a:off x="8472487" y="130969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TERUK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726280</xdr:colOff>
      <xdr:row>0</xdr:row>
      <xdr:rowOff>142875</xdr:rowOff>
    </xdr:from>
    <xdr:to>
      <xdr:col>10</xdr:col>
      <xdr:colOff>500061</xdr:colOff>
      <xdr:row>2</xdr:row>
      <xdr:rowOff>83343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19F7E6D-CFA2-45FD-ACD9-113034C98B0E}"/>
            </a:ext>
          </a:extLst>
        </xdr:cNvPr>
        <xdr:cNvSpPr/>
      </xdr:nvSpPr>
      <xdr:spPr>
        <a:xfrm>
          <a:off x="10527505" y="142875"/>
          <a:ext cx="1697831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SEDERHANA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821530</xdr:colOff>
      <xdr:row>0</xdr:row>
      <xdr:rowOff>142875</xdr:rowOff>
    </xdr:from>
    <xdr:to>
      <xdr:col>12</xdr:col>
      <xdr:colOff>595312</xdr:colOff>
      <xdr:row>2</xdr:row>
      <xdr:rowOff>83343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91B43B6-9F19-4155-B84C-16DC254DBB28}"/>
            </a:ext>
          </a:extLst>
        </xdr:cNvPr>
        <xdr:cNvSpPr/>
      </xdr:nvSpPr>
      <xdr:spPr>
        <a:xfrm>
          <a:off x="12546805" y="142875"/>
          <a:ext cx="1697832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13</xdr:col>
      <xdr:colOff>11905</xdr:colOff>
      <xdr:row>0</xdr:row>
      <xdr:rowOff>166687</xdr:rowOff>
    </xdr:from>
    <xdr:to>
      <xdr:col>14</xdr:col>
      <xdr:colOff>750093</xdr:colOff>
      <xdr:row>2</xdr:row>
      <xdr:rowOff>107155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CA107B2-EA02-422E-8665-B6DD6B2A59BB}"/>
            </a:ext>
          </a:extLst>
        </xdr:cNvPr>
        <xdr:cNvSpPr/>
      </xdr:nvSpPr>
      <xdr:spPr>
        <a:xfrm>
          <a:off x="14623255" y="166687"/>
          <a:ext cx="1700213" cy="435768"/>
        </a:xfrm>
        <a:prstGeom prst="ellipse">
          <a:avLst/>
        </a:prstGeom>
        <a:solidFill>
          <a:srgbClr val="FFFF00"/>
        </a:solidFill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MY" sz="11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SANGAT </a:t>
          </a:r>
          <a:r>
            <a:rPr lang="en-MY" sz="12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BAIK</a:t>
          </a:r>
          <a:endParaRPr lang="en-MY" sz="11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F8D2AE-799E-4D2F-8844-72B49A6B024D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0CB77B-FC90-4701-9CD0-5DD6EDA7AE61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728865-375C-4625-AB45-3068B91C4F31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9CC90C1-1AEE-4EC5-A41E-3E3B4B827930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8B8C7B6-253C-4537-B5F8-F0F45931EAED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21</xdr:col>
      <xdr:colOff>0</xdr:colOff>
      <xdr:row>0</xdr:row>
      <xdr:rowOff>289322</xdr:rowOff>
    </xdr:from>
    <xdr:to>
      <xdr:col>27</xdr:col>
      <xdr:colOff>428625</xdr:colOff>
      <xdr:row>15</xdr:row>
      <xdr:rowOff>44053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8C19039-50D2-4330-B98A-66A7D18BA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33A740-D739-448C-9AFD-8A2ED99F32C4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77527DA-B96E-4FF4-B374-A2B112D03BF2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E73BD3A-9E0E-4F20-A227-06AE50F972C6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3CA0BD5-10AC-4AF3-B901-CA2ABBDF9313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9EEB00-4A91-4D8C-9354-2D9678B56D3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29D63EA-EDCD-41FD-8AF5-1206D68AE175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54823A2-27DD-49D9-9783-B2C22923AA92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25C2F5D-6D8A-4F0F-9F52-E7622648CCF0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0321BAF-A173-4C5A-8905-362248E7FB23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9B74B0E-4291-4B04-8579-D5B499E97242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97925CA-A0A5-48EF-A4DC-A9C44A33ACFD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A7D0EC3-CFC1-4CA4-BF66-3AD5763F97F0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2EE3A7C-F0BB-4331-9412-758C12141525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8D80FA3-00C8-4511-AA08-15F6860896A3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0928A60-DAFB-412F-AEBE-96EC075141DF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A3932D-5997-4188-A135-2E52301698DF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C9BFD0B-B127-4177-BDC8-CFDFBAE309F2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15</xdr:row>
      <xdr:rowOff>178594</xdr:rowOff>
    </xdr:from>
    <xdr:to>
      <xdr:col>15</xdr:col>
      <xdr:colOff>952500</xdr:colOff>
      <xdr:row>49</xdr:row>
      <xdr:rowOff>11905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815526A-7BFB-444F-A11F-6A516D53AE2D}"/>
            </a:ext>
          </a:extLst>
        </xdr:cNvPr>
        <xdr:cNvSpPr txBox="1"/>
      </xdr:nvSpPr>
      <xdr:spPr>
        <a:xfrm>
          <a:off x="12711112" y="31980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57</xdr:row>
      <xdr:rowOff>178594</xdr:rowOff>
    </xdr:from>
    <xdr:to>
      <xdr:col>15</xdr:col>
      <xdr:colOff>952500</xdr:colOff>
      <xdr:row>91</xdr:row>
      <xdr:rowOff>11905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FC21C01-1643-46F3-B214-B5EB9AC271E9}"/>
            </a:ext>
          </a:extLst>
        </xdr:cNvPr>
        <xdr:cNvSpPr txBox="1"/>
      </xdr:nvSpPr>
      <xdr:spPr>
        <a:xfrm>
          <a:off x="12711112" y="112180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99</xdr:row>
      <xdr:rowOff>178594</xdr:rowOff>
    </xdr:from>
    <xdr:to>
      <xdr:col>15</xdr:col>
      <xdr:colOff>952500</xdr:colOff>
      <xdr:row>133</xdr:row>
      <xdr:rowOff>11905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C1179A4-1775-4FBA-A402-6D4FC5E036E2}"/>
            </a:ext>
          </a:extLst>
        </xdr:cNvPr>
        <xdr:cNvSpPr txBox="1"/>
      </xdr:nvSpPr>
      <xdr:spPr>
        <a:xfrm>
          <a:off x="12711112" y="192381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E22B36AD-CB11-4A09-AC1A-3DC947960460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141</xdr:row>
      <xdr:rowOff>178594</xdr:rowOff>
    </xdr:from>
    <xdr:to>
      <xdr:col>15</xdr:col>
      <xdr:colOff>952500</xdr:colOff>
      <xdr:row>175</xdr:row>
      <xdr:rowOff>11905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84C10343-B128-45B9-BCBD-499D0482DECE}"/>
            </a:ext>
          </a:extLst>
        </xdr:cNvPr>
        <xdr:cNvSpPr txBox="1"/>
      </xdr:nvSpPr>
      <xdr:spPr>
        <a:xfrm>
          <a:off x="12711112" y="272581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D0F59A8-E16C-4AE4-87AA-B408AB447CF5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183</xdr:row>
      <xdr:rowOff>178594</xdr:rowOff>
    </xdr:from>
    <xdr:to>
      <xdr:col>15</xdr:col>
      <xdr:colOff>952500</xdr:colOff>
      <xdr:row>217</xdr:row>
      <xdr:rowOff>11905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622EA61-7B20-4DA5-B9DF-D7669477C19E}"/>
            </a:ext>
          </a:extLst>
        </xdr:cNvPr>
        <xdr:cNvSpPr txBox="1"/>
      </xdr:nvSpPr>
      <xdr:spPr>
        <a:xfrm>
          <a:off x="12711112" y="352782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742218-2F77-41CA-88A2-27F4697B2148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225</xdr:row>
      <xdr:rowOff>178594</xdr:rowOff>
    </xdr:from>
    <xdr:to>
      <xdr:col>15</xdr:col>
      <xdr:colOff>952500</xdr:colOff>
      <xdr:row>259</xdr:row>
      <xdr:rowOff>11905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2C96094-98CE-46AF-9077-D1BC732E51E7}"/>
            </a:ext>
          </a:extLst>
        </xdr:cNvPr>
        <xdr:cNvSpPr txBox="1"/>
      </xdr:nvSpPr>
      <xdr:spPr>
        <a:xfrm>
          <a:off x="12711112" y="432982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94CBB08-D4B7-4430-B426-BE5B4BA50359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267</xdr:row>
      <xdr:rowOff>178594</xdr:rowOff>
    </xdr:from>
    <xdr:to>
      <xdr:col>15</xdr:col>
      <xdr:colOff>952500</xdr:colOff>
      <xdr:row>301</xdr:row>
      <xdr:rowOff>11905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687613C-316C-4DFE-B8CD-DEB68E41EED7}"/>
            </a:ext>
          </a:extLst>
        </xdr:cNvPr>
        <xdr:cNvSpPr txBox="1"/>
      </xdr:nvSpPr>
      <xdr:spPr>
        <a:xfrm>
          <a:off x="12711112" y="513183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19061BD-0E32-4197-A708-125929ECDE66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309</xdr:row>
      <xdr:rowOff>178594</xdr:rowOff>
    </xdr:from>
    <xdr:to>
      <xdr:col>15</xdr:col>
      <xdr:colOff>952500</xdr:colOff>
      <xdr:row>343</xdr:row>
      <xdr:rowOff>11905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81B1C6-1CBD-4A6D-884A-C37C0B22225A}"/>
            </a:ext>
          </a:extLst>
        </xdr:cNvPr>
        <xdr:cNvSpPr txBox="1"/>
      </xdr:nvSpPr>
      <xdr:spPr>
        <a:xfrm>
          <a:off x="12711112" y="593383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B4AD2F7-A92B-4603-8C5B-C80F2E888DB1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351</xdr:row>
      <xdr:rowOff>178594</xdr:rowOff>
    </xdr:from>
    <xdr:to>
      <xdr:col>15</xdr:col>
      <xdr:colOff>952500</xdr:colOff>
      <xdr:row>385</xdr:row>
      <xdr:rowOff>11905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DBBEEA5-4E12-4A68-BC81-94E47A23549D}"/>
            </a:ext>
          </a:extLst>
        </xdr:cNvPr>
        <xdr:cNvSpPr txBox="1"/>
      </xdr:nvSpPr>
      <xdr:spPr>
        <a:xfrm>
          <a:off x="12711112" y="673584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A0E7AF3-E521-4137-81A8-697740D8C77A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393</xdr:row>
      <xdr:rowOff>178594</xdr:rowOff>
    </xdr:from>
    <xdr:to>
      <xdr:col>15</xdr:col>
      <xdr:colOff>952500</xdr:colOff>
      <xdr:row>427</xdr:row>
      <xdr:rowOff>11905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1B275EE-B711-41FA-AD30-EFE9D199FA28}"/>
            </a:ext>
          </a:extLst>
        </xdr:cNvPr>
        <xdr:cNvSpPr txBox="1"/>
      </xdr:nvSpPr>
      <xdr:spPr>
        <a:xfrm>
          <a:off x="12711112" y="753784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7555D863-AEF9-4931-95C5-236BB7339F6C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435</xdr:row>
      <xdr:rowOff>178594</xdr:rowOff>
    </xdr:from>
    <xdr:to>
      <xdr:col>15</xdr:col>
      <xdr:colOff>952500</xdr:colOff>
      <xdr:row>469</xdr:row>
      <xdr:rowOff>11905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C57F0C1-20D3-4995-B84A-B35CB23B4B24}"/>
            </a:ext>
          </a:extLst>
        </xdr:cNvPr>
        <xdr:cNvSpPr txBox="1"/>
      </xdr:nvSpPr>
      <xdr:spPr>
        <a:xfrm>
          <a:off x="12711112" y="8339851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7EA4CE-7F04-4E48-9CB4-E1301C583A75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  <xdr:twoCellAnchor>
    <xdr:from>
      <xdr:col>11</xdr:col>
      <xdr:colOff>23812</xdr:colOff>
      <xdr:row>477</xdr:row>
      <xdr:rowOff>178594</xdr:rowOff>
    </xdr:from>
    <xdr:to>
      <xdr:col>15</xdr:col>
      <xdr:colOff>952500</xdr:colOff>
      <xdr:row>511</xdr:row>
      <xdr:rowOff>11905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9BE123C-2F3D-4A7E-95DD-35C284E78D39}"/>
            </a:ext>
          </a:extLst>
        </xdr:cNvPr>
        <xdr:cNvSpPr txBox="1"/>
      </xdr:nvSpPr>
      <xdr:spPr>
        <a:xfrm>
          <a:off x="12711112" y="91418569"/>
          <a:ext cx="4776788" cy="63103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FD6-3D67-4D73-AE8B-455D88586A2D}">
  <sheetPr codeName="Sheet1">
    <tabColor rgb="FFFFC000"/>
  </sheetPr>
  <dimension ref="A1:T514"/>
  <sheetViews>
    <sheetView topLeftCell="A35" zoomScale="80" zoomScaleNormal="80" workbookViewId="0">
      <selection activeCell="R19" sqref="R19"/>
    </sheetView>
  </sheetViews>
  <sheetFormatPr defaultRowHeight="14.25"/>
  <cols>
    <col min="1" max="1" width="5" customWidth="1"/>
    <col min="2" max="2" width="39.625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R2" s="20">
        <v>46023</v>
      </c>
      <c r="S2" s="21" t="e">
        <f>M51</f>
        <v>#DIV/0!</v>
      </c>
      <c r="T2" s="21" t="e">
        <f>N51</f>
        <v>#DIV/0!</v>
      </c>
    </row>
    <row r="3" spans="1:20" ht="15">
      <c r="A3" s="26" t="s">
        <v>4</v>
      </c>
      <c r="R3" s="20">
        <v>46054</v>
      </c>
      <c r="S3" s="21" t="e">
        <f>M93</f>
        <v>#DIV/0!</v>
      </c>
      <c r="T3" s="21" t="e">
        <f>N93</f>
        <v>#DIV/0!</v>
      </c>
    </row>
    <row r="4" spans="1:20" ht="15">
      <c r="A4" s="27">
        <v>1</v>
      </c>
      <c r="R4" s="20">
        <v>46082</v>
      </c>
      <c r="S4" s="21" t="e">
        <f>M135</f>
        <v>#DIV/0!</v>
      </c>
      <c r="T4" s="21" t="e">
        <f>N135</f>
        <v>#DIV/0!</v>
      </c>
    </row>
    <row r="5" spans="1:20" ht="15">
      <c r="A5" s="27">
        <v>2</v>
      </c>
      <c r="R5" s="20">
        <v>46113</v>
      </c>
      <c r="S5" s="21" t="e">
        <f>M177</f>
        <v>#DIV/0!</v>
      </c>
      <c r="T5" s="21" t="e">
        <f>N177</f>
        <v>#DIV/0!</v>
      </c>
    </row>
    <row r="6" spans="1:20" ht="15">
      <c r="A6" s="27">
        <v>3</v>
      </c>
      <c r="R6" s="20">
        <v>46143</v>
      </c>
      <c r="S6" s="21" t="e">
        <f>M219</f>
        <v>#DIV/0!</v>
      </c>
      <c r="T6" s="21" t="e">
        <f>N219</f>
        <v>#DIV/0!</v>
      </c>
    </row>
    <row r="7" spans="1:20" ht="15">
      <c r="A7" s="27">
        <v>4</v>
      </c>
      <c r="R7" s="20">
        <v>46174</v>
      </c>
      <c r="S7" s="21" t="e">
        <f>M261</f>
        <v>#DIV/0!</v>
      </c>
      <c r="T7" s="21" t="e">
        <f>N261</f>
        <v>#DIV/0!</v>
      </c>
    </row>
    <row r="8" spans="1:20" ht="15.75" thickBot="1">
      <c r="A8" s="28">
        <v>5</v>
      </c>
      <c r="R8" s="20">
        <v>46204</v>
      </c>
      <c r="S8" s="21" t="e">
        <f>M303</f>
        <v>#DIV/0!</v>
      </c>
      <c r="T8" s="21" t="e">
        <f>N303</f>
        <v>#DIV/0!</v>
      </c>
    </row>
    <row r="9" spans="1:20" ht="15">
      <c r="R9" s="20">
        <v>46235</v>
      </c>
      <c r="S9" s="21" t="e">
        <f>M345</f>
        <v>#DIV/0!</v>
      </c>
      <c r="T9" s="21" t="e">
        <f>N345</f>
        <v>#DIV/0!</v>
      </c>
    </row>
    <row r="10" spans="1:20" ht="15">
      <c r="R10" s="20">
        <v>46266</v>
      </c>
      <c r="S10" s="21" t="e">
        <f>M387</f>
        <v>#DIV/0!</v>
      </c>
      <c r="T10" s="21" t="e">
        <f>N387</f>
        <v>#DIV/0!</v>
      </c>
    </row>
    <row r="11" spans="1:20" ht="15">
      <c r="R11" s="20">
        <v>46296</v>
      </c>
      <c r="S11" s="21" t="e">
        <f>M429</f>
        <v>#DIV/0!</v>
      </c>
      <c r="T11" s="21" t="e">
        <f>N429</f>
        <v>#DIV/0!</v>
      </c>
    </row>
    <row r="12" spans="1:20" ht="16.5" customHeight="1">
      <c r="B12" s="16" t="s">
        <v>5</v>
      </c>
      <c r="C12" s="23" t="s">
        <v>6</v>
      </c>
      <c r="D12" s="75" t="s">
        <v>7</v>
      </c>
      <c r="E12" s="76"/>
      <c r="F12" s="75" t="s">
        <v>8</v>
      </c>
      <c r="G12" s="76"/>
      <c r="H12" s="75" t="s">
        <v>9</v>
      </c>
      <c r="I12" s="76"/>
      <c r="J12" s="75" t="s">
        <v>10</v>
      </c>
      <c r="K12" s="76"/>
      <c r="R12" s="20">
        <v>46327</v>
      </c>
      <c r="S12" s="49" t="e">
        <f>M471</f>
        <v>#DIV/0!</v>
      </c>
      <c r="T12" s="49" t="e">
        <f>N471</f>
        <v>#DIV/0!</v>
      </c>
    </row>
    <row r="13" spans="1:20" s="1" customFormat="1" ht="15">
      <c r="A13" s="77" t="s">
        <v>11</v>
      </c>
      <c r="B13" s="77" t="s">
        <v>12</v>
      </c>
      <c r="C13" s="6" t="s">
        <v>13</v>
      </c>
      <c r="D13" s="29"/>
      <c r="E13" s="29"/>
      <c r="F13" s="29"/>
      <c r="G13" s="29"/>
      <c r="H13" s="29"/>
      <c r="I13" s="29"/>
      <c r="J13" s="29"/>
      <c r="K13" s="29"/>
      <c r="L13" s="80" t="s">
        <v>14</v>
      </c>
      <c r="M13" s="81"/>
      <c r="N13" s="81"/>
      <c r="O13" s="81"/>
      <c r="P13" s="81"/>
      <c r="R13" s="20">
        <v>46357</v>
      </c>
      <c r="S13" s="49" t="e">
        <f>M513</f>
        <v>#DIV/0!</v>
      </c>
      <c r="T13" s="49" t="e">
        <f>N513</f>
        <v>#DIV/0!</v>
      </c>
    </row>
    <row r="14" spans="1:20" s="1" customFormat="1" ht="15">
      <c r="A14" s="78"/>
      <c r="B14" s="78"/>
      <c r="C14" s="6"/>
      <c r="D14" s="7" t="s">
        <v>2</v>
      </c>
      <c r="E14" s="7" t="s">
        <v>15</v>
      </c>
      <c r="F14" s="7" t="s">
        <v>2</v>
      </c>
      <c r="G14" s="7" t="s">
        <v>15</v>
      </c>
      <c r="H14" s="7" t="s">
        <v>2</v>
      </c>
      <c r="I14" s="7" t="s">
        <v>15</v>
      </c>
      <c r="J14" s="7" t="s">
        <v>2</v>
      </c>
      <c r="K14" s="7" t="s">
        <v>15</v>
      </c>
      <c r="L14" s="80"/>
      <c r="M14" s="81"/>
      <c r="N14" s="81"/>
      <c r="O14" s="81"/>
      <c r="P14" s="81"/>
    </row>
    <row r="15" spans="1:20" s="1" customFormat="1" ht="15">
      <c r="A15" s="79"/>
      <c r="B15" s="79"/>
      <c r="C15" s="6" t="s">
        <v>16</v>
      </c>
      <c r="D15" s="6"/>
      <c r="E15" s="6"/>
      <c r="F15" s="6"/>
      <c r="G15" s="6"/>
      <c r="H15" s="6"/>
      <c r="I15" s="6"/>
      <c r="J15" s="6"/>
      <c r="K15" s="6"/>
      <c r="L15" s="80"/>
      <c r="M15" s="81"/>
      <c r="N15" s="81"/>
      <c r="O15" s="81"/>
      <c r="P15" s="81"/>
    </row>
    <row r="16" spans="1:20" ht="15">
      <c r="A16" s="82">
        <v>1</v>
      </c>
      <c r="B16" s="84" t="s">
        <v>17</v>
      </c>
      <c r="C16" s="85"/>
      <c r="D16" s="8"/>
      <c r="E16" s="8"/>
      <c r="F16" s="8"/>
      <c r="G16" s="8"/>
      <c r="H16" s="8"/>
      <c r="I16" s="8"/>
      <c r="J16" s="8"/>
      <c r="K16" s="8"/>
      <c r="L16" s="86"/>
      <c r="M16" s="86"/>
      <c r="N16" s="86"/>
      <c r="O16" s="86"/>
      <c r="P16" s="86"/>
    </row>
    <row r="17" spans="1:16" ht="15">
      <c r="A17" s="83"/>
      <c r="B17" s="87" t="s">
        <v>18</v>
      </c>
      <c r="C17" s="88"/>
      <c r="D17" s="9"/>
      <c r="E17" s="9"/>
      <c r="F17" s="9"/>
      <c r="G17" s="9"/>
      <c r="H17" s="9"/>
      <c r="I17" s="9"/>
      <c r="J17" s="9"/>
      <c r="K17" s="9"/>
      <c r="L17" s="86"/>
      <c r="M17" s="86"/>
      <c r="N17" s="86"/>
      <c r="O17" s="86"/>
      <c r="P17" s="86"/>
    </row>
    <row r="18" spans="1:16" ht="15">
      <c r="A18" s="72">
        <v>2</v>
      </c>
      <c r="B18" s="73" t="s">
        <v>19</v>
      </c>
      <c r="C18" s="73"/>
      <c r="D18" s="8"/>
      <c r="E18" s="8"/>
      <c r="F18" s="8"/>
      <c r="G18" s="8"/>
      <c r="H18" s="8"/>
      <c r="I18" s="8"/>
      <c r="J18" s="8"/>
      <c r="K18" s="8"/>
      <c r="L18" s="86"/>
      <c r="M18" s="86"/>
      <c r="N18" s="86"/>
      <c r="O18" s="86"/>
      <c r="P18" s="86"/>
    </row>
    <row r="19" spans="1:16" ht="15">
      <c r="A19" s="72"/>
      <c r="B19" s="70" t="s">
        <v>18</v>
      </c>
      <c r="C19" s="70"/>
      <c r="D19" s="9"/>
      <c r="E19" s="9"/>
      <c r="F19" s="9"/>
      <c r="G19" s="9"/>
      <c r="H19" s="9"/>
      <c r="I19" s="9"/>
      <c r="J19" s="9"/>
      <c r="K19" s="9"/>
      <c r="L19" s="86"/>
      <c r="M19" s="86"/>
      <c r="N19" s="86"/>
      <c r="O19" s="86"/>
      <c r="P19" s="86"/>
    </row>
    <row r="20" spans="1:16" ht="15">
      <c r="A20" s="72">
        <v>3</v>
      </c>
      <c r="B20" s="73" t="s">
        <v>20</v>
      </c>
      <c r="C20" s="73"/>
      <c r="D20" s="10"/>
      <c r="E20" s="10"/>
      <c r="F20" s="10"/>
      <c r="G20" s="10"/>
      <c r="H20" s="10"/>
      <c r="I20" s="10"/>
      <c r="J20" s="10"/>
      <c r="K20" s="10"/>
      <c r="L20" s="86"/>
      <c r="M20" s="86"/>
      <c r="N20" s="86"/>
      <c r="O20" s="86"/>
      <c r="P20" s="86"/>
    </row>
    <row r="21" spans="1:16" ht="15" customHeight="1">
      <c r="A21" s="72"/>
      <c r="B21" s="74" t="s">
        <v>21</v>
      </c>
      <c r="C21" s="74"/>
      <c r="D21" s="8"/>
      <c r="E21" s="8"/>
      <c r="F21" s="8"/>
      <c r="G21" s="8"/>
      <c r="H21" s="8"/>
      <c r="I21" s="8"/>
      <c r="J21" s="8"/>
      <c r="K21" s="8"/>
      <c r="L21" s="86"/>
      <c r="M21" s="86"/>
      <c r="N21" s="86"/>
      <c r="O21" s="86"/>
      <c r="P21" s="86"/>
    </row>
    <row r="22" spans="1:16" ht="15" customHeight="1">
      <c r="A22" s="72"/>
      <c r="B22" s="74" t="s">
        <v>22</v>
      </c>
      <c r="C22" s="74"/>
      <c r="D22" s="8"/>
      <c r="E22" s="8"/>
      <c r="F22" s="8"/>
      <c r="G22" s="8"/>
      <c r="H22" s="8"/>
      <c r="I22" s="8"/>
      <c r="J22" s="8"/>
      <c r="K22" s="8"/>
      <c r="L22" s="86"/>
      <c r="M22" s="86"/>
      <c r="N22" s="86"/>
      <c r="O22" s="86"/>
      <c r="P22" s="86"/>
    </row>
    <row r="23" spans="1:16" ht="15" customHeight="1">
      <c r="A23" s="72"/>
      <c r="B23" s="74" t="s">
        <v>23</v>
      </c>
      <c r="C23" s="74"/>
      <c r="D23" s="8"/>
      <c r="E23" s="8"/>
      <c r="F23" s="8"/>
      <c r="G23" s="8"/>
      <c r="H23" s="8"/>
      <c r="I23" s="8"/>
      <c r="J23" s="8"/>
      <c r="K23" s="8"/>
      <c r="L23" s="86"/>
      <c r="M23" s="86"/>
      <c r="N23" s="86"/>
      <c r="O23" s="86"/>
      <c r="P23" s="86"/>
    </row>
    <row r="24" spans="1:16" ht="15">
      <c r="A24" s="72"/>
      <c r="B24" s="70" t="s">
        <v>18</v>
      </c>
      <c r="C24" s="70"/>
      <c r="D24" s="9"/>
      <c r="E24" s="9"/>
      <c r="F24" s="9"/>
      <c r="G24" s="9"/>
      <c r="H24" s="9"/>
      <c r="I24" s="9"/>
      <c r="J24" s="9"/>
      <c r="K24" s="9"/>
      <c r="L24" s="86"/>
      <c r="M24" s="86"/>
      <c r="N24" s="86"/>
      <c r="O24" s="86"/>
      <c r="P24" s="86"/>
    </row>
    <row r="25" spans="1:16" ht="15">
      <c r="A25" s="72">
        <v>4</v>
      </c>
      <c r="B25" s="73" t="s">
        <v>24</v>
      </c>
      <c r="C25" s="73"/>
      <c r="D25" s="10"/>
      <c r="E25" s="10"/>
      <c r="F25" s="10"/>
      <c r="G25" s="10"/>
      <c r="H25" s="10"/>
      <c r="I25" s="10"/>
      <c r="J25" s="10"/>
      <c r="K25" s="10"/>
      <c r="L25" s="86"/>
      <c r="M25" s="86"/>
      <c r="N25" s="86"/>
      <c r="O25" s="86"/>
      <c r="P25" s="86"/>
    </row>
    <row r="26" spans="1:16" ht="15" customHeight="1">
      <c r="A26" s="72"/>
      <c r="B26" s="74" t="s">
        <v>25</v>
      </c>
      <c r="C26" s="74"/>
      <c r="D26" s="8"/>
      <c r="E26" s="8"/>
      <c r="F26" s="8"/>
      <c r="G26" s="8"/>
      <c r="H26" s="8"/>
      <c r="I26" s="8"/>
      <c r="J26" s="8"/>
      <c r="K26" s="8"/>
      <c r="L26" s="86"/>
      <c r="M26" s="86"/>
      <c r="N26" s="86"/>
      <c r="O26" s="86"/>
      <c r="P26" s="86"/>
    </row>
    <row r="27" spans="1:16" ht="15" customHeight="1">
      <c r="A27" s="72"/>
      <c r="B27" s="74" t="s">
        <v>26</v>
      </c>
      <c r="C27" s="74"/>
      <c r="D27" s="8"/>
      <c r="E27" s="8"/>
      <c r="F27" s="8"/>
      <c r="G27" s="8"/>
      <c r="H27" s="8"/>
      <c r="I27" s="8"/>
      <c r="J27" s="8"/>
      <c r="K27" s="8"/>
      <c r="L27" s="86"/>
      <c r="M27" s="86"/>
      <c r="N27" s="86"/>
      <c r="O27" s="86"/>
      <c r="P27" s="86"/>
    </row>
    <row r="28" spans="1:16" ht="15">
      <c r="A28" s="72"/>
      <c r="B28" s="70" t="s">
        <v>18</v>
      </c>
      <c r="C28" s="70"/>
      <c r="D28" s="9"/>
      <c r="E28" s="9"/>
      <c r="F28" s="9"/>
      <c r="G28" s="9"/>
      <c r="H28" s="9"/>
      <c r="I28" s="9"/>
      <c r="J28" s="9"/>
      <c r="K28" s="9"/>
      <c r="L28" s="86"/>
      <c r="M28" s="86"/>
      <c r="N28" s="86"/>
      <c r="O28" s="86"/>
      <c r="P28" s="86"/>
    </row>
    <row r="29" spans="1:16" ht="15">
      <c r="A29" s="72">
        <v>5</v>
      </c>
      <c r="B29" s="73" t="s">
        <v>27</v>
      </c>
      <c r="C29" s="73"/>
      <c r="D29" s="8"/>
      <c r="E29" s="8"/>
      <c r="F29" s="8"/>
      <c r="G29" s="8"/>
      <c r="H29" s="8"/>
      <c r="I29" s="8"/>
      <c r="J29" s="8"/>
      <c r="K29" s="8"/>
      <c r="L29" s="86"/>
      <c r="M29" s="86"/>
      <c r="N29" s="86"/>
      <c r="O29" s="86"/>
      <c r="P29" s="86"/>
    </row>
    <row r="30" spans="1:16" ht="15">
      <c r="A30" s="72"/>
      <c r="B30" s="70" t="s">
        <v>18</v>
      </c>
      <c r="C30" s="70"/>
      <c r="D30" s="9"/>
      <c r="E30" s="9"/>
      <c r="F30" s="9"/>
      <c r="G30" s="9"/>
      <c r="H30" s="9"/>
      <c r="I30" s="9"/>
      <c r="J30" s="9"/>
      <c r="K30" s="9"/>
      <c r="L30" s="86"/>
      <c r="M30" s="86"/>
      <c r="N30" s="86"/>
      <c r="O30" s="86"/>
      <c r="P30" s="86"/>
    </row>
    <row r="31" spans="1:16" ht="15">
      <c r="A31" s="72">
        <v>6</v>
      </c>
      <c r="B31" s="73" t="s">
        <v>28</v>
      </c>
      <c r="C31" s="73"/>
      <c r="D31" s="10"/>
      <c r="E31" s="10"/>
      <c r="F31" s="10"/>
      <c r="G31" s="10"/>
      <c r="H31" s="10"/>
      <c r="I31" s="10"/>
      <c r="J31" s="10"/>
      <c r="K31" s="10"/>
      <c r="L31" s="86"/>
      <c r="M31" s="86"/>
      <c r="N31" s="86"/>
      <c r="O31" s="86"/>
      <c r="P31" s="86"/>
    </row>
    <row r="32" spans="1:16" ht="15" customHeight="1">
      <c r="A32" s="72"/>
      <c r="B32" s="74" t="s">
        <v>29</v>
      </c>
      <c r="C32" s="74"/>
      <c r="D32" s="8"/>
      <c r="E32" s="8"/>
      <c r="F32" s="8"/>
      <c r="G32" s="8"/>
      <c r="H32" s="8"/>
      <c r="I32" s="8"/>
      <c r="J32" s="8"/>
      <c r="K32" s="8"/>
      <c r="L32" s="86"/>
      <c r="M32" s="86"/>
      <c r="N32" s="86"/>
      <c r="O32" s="86"/>
      <c r="P32" s="86"/>
    </row>
    <row r="33" spans="1:16" ht="15" customHeight="1">
      <c r="A33" s="72"/>
      <c r="B33" s="74" t="s">
        <v>30</v>
      </c>
      <c r="C33" s="74"/>
      <c r="D33" s="8"/>
      <c r="E33" s="8"/>
      <c r="F33" s="8"/>
      <c r="G33" s="8"/>
      <c r="H33" s="8"/>
      <c r="I33" s="8"/>
      <c r="J33" s="8"/>
      <c r="K33" s="8"/>
      <c r="L33" s="86"/>
      <c r="M33" s="86"/>
      <c r="N33" s="86"/>
      <c r="O33" s="86"/>
      <c r="P33" s="86"/>
    </row>
    <row r="34" spans="1:16" ht="15" customHeight="1">
      <c r="A34" s="72"/>
      <c r="B34" s="74" t="s">
        <v>31</v>
      </c>
      <c r="C34" s="74"/>
      <c r="D34" s="8"/>
      <c r="E34" s="8"/>
      <c r="F34" s="8"/>
      <c r="G34" s="8"/>
      <c r="H34" s="8"/>
      <c r="I34" s="8"/>
      <c r="J34" s="8"/>
      <c r="K34" s="8"/>
      <c r="L34" s="86"/>
      <c r="M34" s="86"/>
      <c r="N34" s="86"/>
      <c r="O34" s="86"/>
      <c r="P34" s="86"/>
    </row>
    <row r="35" spans="1:16" ht="15" customHeight="1">
      <c r="A35" s="72"/>
      <c r="B35" s="74" t="s">
        <v>32</v>
      </c>
      <c r="C35" s="74"/>
      <c r="D35" s="8"/>
      <c r="E35" s="8"/>
      <c r="F35" s="8"/>
      <c r="G35" s="8"/>
      <c r="H35" s="8"/>
      <c r="I35" s="8"/>
      <c r="J35" s="8"/>
      <c r="K35" s="8"/>
      <c r="L35" s="86"/>
      <c r="M35" s="86"/>
      <c r="N35" s="86"/>
      <c r="O35" s="86"/>
      <c r="P35" s="86"/>
    </row>
    <row r="36" spans="1:16" ht="15" customHeight="1">
      <c r="A36" s="72"/>
      <c r="B36" s="74" t="s">
        <v>33</v>
      </c>
      <c r="C36" s="74"/>
      <c r="D36" s="8"/>
      <c r="E36" s="8"/>
      <c r="F36" s="8"/>
      <c r="G36" s="8"/>
      <c r="H36" s="8"/>
      <c r="I36" s="8"/>
      <c r="J36" s="8"/>
      <c r="K36" s="8"/>
      <c r="L36" s="86"/>
      <c r="M36" s="86"/>
      <c r="N36" s="86"/>
      <c r="O36" s="86"/>
      <c r="P36" s="86"/>
    </row>
    <row r="37" spans="1:16" ht="15">
      <c r="A37" s="72"/>
      <c r="B37" s="70" t="s">
        <v>18</v>
      </c>
      <c r="C37" s="70"/>
      <c r="D37" s="9"/>
      <c r="E37" s="9"/>
      <c r="F37" s="9"/>
      <c r="G37" s="9"/>
      <c r="H37" s="9"/>
      <c r="I37" s="9"/>
      <c r="J37" s="9"/>
      <c r="K37" s="9"/>
      <c r="L37" s="86"/>
      <c r="M37" s="86"/>
      <c r="N37" s="86"/>
      <c r="O37" s="86"/>
      <c r="P37" s="86"/>
    </row>
    <row r="38" spans="1:16" ht="15">
      <c r="A38" s="72">
        <v>7</v>
      </c>
      <c r="B38" s="73" t="s">
        <v>34</v>
      </c>
      <c r="C38" s="73"/>
      <c r="D38" s="10"/>
      <c r="E38" s="10"/>
      <c r="F38" s="10"/>
      <c r="G38" s="10"/>
      <c r="H38" s="10"/>
      <c r="I38" s="10"/>
      <c r="J38" s="10"/>
      <c r="K38" s="10"/>
      <c r="L38" s="86"/>
      <c r="M38" s="86"/>
      <c r="N38" s="86"/>
      <c r="O38" s="86"/>
      <c r="P38" s="86"/>
    </row>
    <row r="39" spans="1:16" ht="15" customHeight="1">
      <c r="A39" s="72"/>
      <c r="B39" s="74" t="s">
        <v>35</v>
      </c>
      <c r="C39" s="74"/>
      <c r="D39" s="8"/>
      <c r="E39" s="8"/>
      <c r="F39" s="8"/>
      <c r="G39" s="8"/>
      <c r="H39" s="8"/>
      <c r="I39" s="8"/>
      <c r="J39" s="8"/>
      <c r="K39" s="8"/>
      <c r="L39" s="86"/>
      <c r="M39" s="86"/>
      <c r="N39" s="86"/>
      <c r="O39" s="86"/>
      <c r="P39" s="86"/>
    </row>
    <row r="40" spans="1:16" ht="15" customHeight="1">
      <c r="A40" s="72"/>
      <c r="B40" s="74" t="s">
        <v>36</v>
      </c>
      <c r="C40" s="74"/>
      <c r="D40" s="8"/>
      <c r="E40" s="8"/>
      <c r="F40" s="8"/>
      <c r="G40" s="8"/>
      <c r="H40" s="8"/>
      <c r="I40" s="8"/>
      <c r="J40" s="8"/>
      <c r="K40" s="8"/>
      <c r="L40" s="86"/>
      <c r="M40" s="86"/>
      <c r="N40" s="86"/>
      <c r="O40" s="86"/>
      <c r="P40" s="86"/>
    </row>
    <row r="41" spans="1:16" ht="15" customHeight="1">
      <c r="A41" s="72"/>
      <c r="B41" s="74" t="s">
        <v>37</v>
      </c>
      <c r="C41" s="74"/>
      <c r="D41" s="8"/>
      <c r="E41" s="8"/>
      <c r="F41" s="8"/>
      <c r="G41" s="8"/>
      <c r="H41" s="8"/>
      <c r="I41" s="8"/>
      <c r="J41" s="8"/>
      <c r="K41" s="8"/>
      <c r="L41" s="86"/>
      <c r="M41" s="86"/>
      <c r="N41" s="86"/>
      <c r="O41" s="86"/>
      <c r="P41" s="86"/>
    </row>
    <row r="42" spans="1:16" ht="15" customHeight="1">
      <c r="A42" s="72"/>
      <c r="B42" s="74" t="s">
        <v>38</v>
      </c>
      <c r="C42" s="74"/>
      <c r="D42" s="8"/>
      <c r="E42" s="8"/>
      <c r="F42" s="8"/>
      <c r="G42" s="8"/>
      <c r="H42" s="8"/>
      <c r="I42" s="8"/>
      <c r="J42" s="8"/>
      <c r="K42" s="8"/>
      <c r="L42" s="86"/>
      <c r="M42" s="86"/>
      <c r="N42" s="86"/>
      <c r="O42" s="86"/>
      <c r="P42" s="86"/>
    </row>
    <row r="43" spans="1:16" ht="15" customHeight="1">
      <c r="A43" s="72"/>
      <c r="B43" s="74" t="s">
        <v>39</v>
      </c>
      <c r="C43" s="74"/>
      <c r="D43" s="8"/>
      <c r="E43" s="8"/>
      <c r="F43" s="8"/>
      <c r="G43" s="8"/>
      <c r="H43" s="8"/>
      <c r="I43" s="8"/>
      <c r="J43" s="8"/>
      <c r="K43" s="8"/>
      <c r="L43" s="86"/>
      <c r="M43" s="86"/>
      <c r="N43" s="86"/>
      <c r="O43" s="86"/>
      <c r="P43" s="86"/>
    </row>
    <row r="44" spans="1:16" ht="15" customHeight="1">
      <c r="A44" s="72"/>
      <c r="B44" s="74" t="s">
        <v>40</v>
      </c>
      <c r="C44" s="74"/>
      <c r="D44" s="8"/>
      <c r="E44" s="8"/>
      <c r="F44" s="8"/>
      <c r="G44" s="8"/>
      <c r="H44" s="8"/>
      <c r="I44" s="8"/>
      <c r="J44" s="8"/>
      <c r="K44" s="8"/>
      <c r="L44" s="86"/>
      <c r="M44" s="86"/>
      <c r="N44" s="86"/>
      <c r="O44" s="86"/>
      <c r="P44" s="86"/>
    </row>
    <row r="45" spans="1:16" ht="15" customHeight="1">
      <c r="A45" s="72"/>
      <c r="B45" s="74" t="s">
        <v>41</v>
      </c>
      <c r="C45" s="74"/>
      <c r="D45" s="8"/>
      <c r="E45" s="8"/>
      <c r="F45" s="8"/>
      <c r="G45" s="8"/>
      <c r="H45" s="8"/>
      <c r="I45" s="8"/>
      <c r="J45" s="8"/>
      <c r="K45" s="8"/>
      <c r="L45" s="86"/>
      <c r="M45" s="86"/>
      <c r="N45" s="86"/>
      <c r="O45" s="86"/>
      <c r="P45" s="86"/>
    </row>
    <row r="46" spans="1:16" ht="15" customHeight="1">
      <c r="A46" s="72"/>
      <c r="B46" s="74" t="s">
        <v>42</v>
      </c>
      <c r="C46" s="74"/>
      <c r="D46" s="8"/>
      <c r="E46" s="8"/>
      <c r="F46" s="8"/>
      <c r="G46" s="8"/>
      <c r="H46" s="8"/>
      <c r="I46" s="8"/>
      <c r="J46" s="8"/>
      <c r="K46" s="8"/>
      <c r="L46" s="86"/>
      <c r="M46" s="86"/>
      <c r="N46" s="86"/>
      <c r="O46" s="86"/>
      <c r="P46" s="86"/>
    </row>
    <row r="47" spans="1:16" ht="15" customHeight="1">
      <c r="A47" s="72"/>
      <c r="B47" s="68" t="s">
        <v>43</v>
      </c>
      <c r="C47" s="69"/>
      <c r="D47" s="8"/>
      <c r="E47" s="8"/>
      <c r="F47" s="8"/>
      <c r="G47" s="8"/>
      <c r="H47" s="8"/>
      <c r="I47" s="8"/>
      <c r="J47" s="8"/>
      <c r="K47" s="8"/>
      <c r="L47" s="86"/>
      <c r="M47" s="86"/>
      <c r="N47" s="86"/>
      <c r="O47" s="86"/>
      <c r="P47" s="86"/>
    </row>
    <row r="48" spans="1:16" ht="15">
      <c r="A48" s="72"/>
      <c r="B48" s="70" t="s">
        <v>18</v>
      </c>
      <c r="C48" s="70"/>
      <c r="D48" s="9"/>
      <c r="E48" s="9"/>
      <c r="F48" s="9"/>
      <c r="G48" s="9"/>
      <c r="H48" s="9"/>
      <c r="I48" s="9"/>
      <c r="J48" s="9"/>
      <c r="K48" s="9"/>
      <c r="L48" s="86"/>
      <c r="M48" s="86"/>
      <c r="N48" s="86"/>
      <c r="O48" s="86"/>
      <c r="P48" s="86"/>
    </row>
    <row r="50" spans="1:16" s="30" customFormat="1" ht="15">
      <c r="B50" s="91" t="s">
        <v>44</v>
      </c>
      <c r="C50" s="91"/>
      <c r="D50" s="31">
        <f>SUM(D16:D47)</f>
        <v>0</v>
      </c>
      <c r="E50" s="31">
        <f t="shared" ref="E50:K50" si="0">SUM(E16:E47)</f>
        <v>0</v>
      </c>
      <c r="F50" s="31">
        <f t="shared" si="0"/>
        <v>0</v>
      </c>
      <c r="G50" s="31">
        <f t="shared" si="0"/>
        <v>0</v>
      </c>
      <c r="H50" s="31">
        <f t="shared" si="0"/>
        <v>0</v>
      </c>
      <c r="I50" s="31">
        <f t="shared" si="0"/>
        <v>0</v>
      </c>
      <c r="J50" s="31">
        <f t="shared" si="0"/>
        <v>0</v>
      </c>
      <c r="K50" s="31">
        <f t="shared" si="0"/>
        <v>0</v>
      </c>
      <c r="M50" s="32" t="s">
        <v>2</v>
      </c>
      <c r="N50" s="32" t="s">
        <v>3</v>
      </c>
    </row>
    <row r="51" spans="1:16" s="30" customFormat="1" ht="15">
      <c r="C51" s="33"/>
      <c r="D51" s="31">
        <f>COUNT(D16:D48)*5</f>
        <v>0</v>
      </c>
      <c r="E51" s="31">
        <f t="shared" ref="E51:K51" si="1">COUNT(E16:E48)*5</f>
        <v>0</v>
      </c>
      <c r="F51" s="31">
        <f t="shared" si="1"/>
        <v>0</v>
      </c>
      <c r="G51" s="31">
        <f t="shared" si="1"/>
        <v>0</v>
      </c>
      <c r="H51" s="31">
        <f t="shared" si="1"/>
        <v>0</v>
      </c>
      <c r="I51" s="31">
        <f t="shared" si="1"/>
        <v>0</v>
      </c>
      <c r="J51" s="31">
        <f t="shared" si="1"/>
        <v>0</v>
      </c>
      <c r="K51" s="31">
        <f t="shared" si="1"/>
        <v>0</v>
      </c>
      <c r="M51" s="34" t="e">
        <f>(D52+F52+H52+J52)/4</f>
        <v>#DIV/0!</v>
      </c>
      <c r="N51" s="34" t="e">
        <f>(E52+G52+I52+K52)/4</f>
        <v>#DIV/0!</v>
      </c>
    </row>
    <row r="52" spans="1:16" s="30" customFormat="1" ht="15">
      <c r="C52" s="35" t="s">
        <v>45</v>
      </c>
      <c r="D52" s="36" t="e">
        <f>D50/D51</f>
        <v>#DIV/0!</v>
      </c>
      <c r="E52" s="36" t="e">
        <f t="shared" ref="E52:K52" si="2">E50/E51</f>
        <v>#DIV/0!</v>
      </c>
      <c r="F52" s="36" t="e">
        <f t="shared" si="2"/>
        <v>#DIV/0!</v>
      </c>
      <c r="G52" s="36" t="e">
        <f t="shared" si="2"/>
        <v>#DIV/0!</v>
      </c>
      <c r="H52" s="36" t="e">
        <f t="shared" si="2"/>
        <v>#DIV/0!</v>
      </c>
      <c r="I52" s="36" t="e">
        <f t="shared" si="2"/>
        <v>#DIV/0!</v>
      </c>
      <c r="J52" s="36" t="e">
        <f t="shared" si="2"/>
        <v>#DIV/0!</v>
      </c>
      <c r="K52" s="36" t="e">
        <f t="shared" si="2"/>
        <v>#DIV/0!</v>
      </c>
      <c r="L52" s="37"/>
      <c r="M52" s="37"/>
      <c r="N52" s="37"/>
      <c r="O52" s="37"/>
      <c r="P52" s="37"/>
    </row>
    <row r="53" spans="1:16" s="22" customFormat="1"/>
    <row r="54" spans="1:16" ht="18">
      <c r="B54" s="16" t="s">
        <v>46</v>
      </c>
      <c r="C54" s="23" t="s">
        <v>6</v>
      </c>
      <c r="D54" s="75" t="s">
        <v>7</v>
      </c>
      <c r="E54" s="76"/>
      <c r="F54" s="75" t="s">
        <v>8</v>
      </c>
      <c r="G54" s="76"/>
      <c r="H54" s="75" t="s">
        <v>9</v>
      </c>
      <c r="I54" s="76"/>
      <c r="J54" s="75" t="s">
        <v>10</v>
      </c>
      <c r="K54" s="76"/>
    </row>
    <row r="55" spans="1:16" s="1" customFormat="1" ht="15">
      <c r="A55" s="77" t="s">
        <v>11</v>
      </c>
      <c r="B55" s="77" t="s">
        <v>12</v>
      </c>
      <c r="C55" s="6" t="s">
        <v>13</v>
      </c>
      <c r="D55" s="29"/>
      <c r="E55" s="29"/>
      <c r="F55" s="29"/>
      <c r="G55" s="29"/>
      <c r="H55" s="29"/>
      <c r="I55" s="29"/>
      <c r="J55" s="29"/>
      <c r="K55" s="29"/>
      <c r="L55" s="80" t="s">
        <v>14</v>
      </c>
      <c r="M55" s="81"/>
      <c r="N55" s="81"/>
      <c r="O55" s="81"/>
      <c r="P55" s="81"/>
    </row>
    <row r="56" spans="1:16" s="1" customFormat="1" ht="15">
      <c r="A56" s="78"/>
      <c r="B56" s="78"/>
      <c r="C56" s="6"/>
      <c r="D56" s="7" t="s">
        <v>2</v>
      </c>
      <c r="E56" s="7" t="s">
        <v>15</v>
      </c>
      <c r="F56" s="7" t="s">
        <v>2</v>
      </c>
      <c r="G56" s="7" t="s">
        <v>15</v>
      </c>
      <c r="H56" s="7" t="s">
        <v>2</v>
      </c>
      <c r="I56" s="7" t="s">
        <v>15</v>
      </c>
      <c r="J56" s="7" t="s">
        <v>2</v>
      </c>
      <c r="K56" s="7" t="s">
        <v>15</v>
      </c>
      <c r="L56" s="80"/>
      <c r="M56" s="81"/>
      <c r="N56" s="81"/>
      <c r="O56" s="81"/>
      <c r="P56" s="81"/>
    </row>
    <row r="57" spans="1:16" s="1" customFormat="1" ht="15">
      <c r="A57" s="79"/>
      <c r="B57" s="79"/>
      <c r="C57" s="6" t="s">
        <v>16</v>
      </c>
      <c r="D57" s="6"/>
      <c r="E57" s="6"/>
      <c r="F57" s="6"/>
      <c r="G57" s="6"/>
      <c r="H57" s="6"/>
      <c r="I57" s="6"/>
      <c r="J57" s="6"/>
      <c r="K57" s="6"/>
      <c r="L57" s="80"/>
      <c r="M57" s="81"/>
      <c r="N57" s="81"/>
      <c r="O57" s="81"/>
      <c r="P57" s="81"/>
    </row>
    <row r="58" spans="1:16" ht="15">
      <c r="A58" s="82">
        <v>1</v>
      </c>
      <c r="B58" s="84" t="s">
        <v>17</v>
      </c>
      <c r="C58" s="85"/>
      <c r="D58" s="8"/>
      <c r="E58" s="8"/>
      <c r="F58" s="8"/>
      <c r="G58" s="8"/>
      <c r="H58" s="8"/>
      <c r="I58" s="8"/>
      <c r="J58" s="8"/>
      <c r="K58" s="8"/>
      <c r="L58" s="86"/>
      <c r="M58" s="86"/>
      <c r="N58" s="86"/>
      <c r="O58" s="86"/>
      <c r="P58" s="86"/>
    </row>
    <row r="59" spans="1:16" ht="15">
      <c r="A59" s="83"/>
      <c r="B59" s="87" t="s">
        <v>18</v>
      </c>
      <c r="C59" s="88"/>
      <c r="D59" s="9"/>
      <c r="E59" s="9"/>
      <c r="F59" s="9"/>
      <c r="G59" s="9"/>
      <c r="H59" s="9"/>
      <c r="I59" s="9"/>
      <c r="J59" s="9"/>
      <c r="K59" s="9"/>
      <c r="L59" s="86"/>
      <c r="M59" s="86"/>
      <c r="N59" s="86"/>
      <c r="O59" s="86"/>
      <c r="P59" s="86"/>
    </row>
    <row r="60" spans="1:16" ht="15">
      <c r="A60" s="72">
        <v>2</v>
      </c>
      <c r="B60" s="73" t="s">
        <v>19</v>
      </c>
      <c r="C60" s="73"/>
      <c r="D60" s="8"/>
      <c r="E60" s="8"/>
      <c r="F60" s="8"/>
      <c r="G60" s="8"/>
      <c r="H60" s="8"/>
      <c r="I60" s="8"/>
      <c r="J60" s="8"/>
      <c r="K60" s="8"/>
      <c r="L60" s="86"/>
      <c r="M60" s="86"/>
      <c r="N60" s="86"/>
      <c r="O60" s="86"/>
      <c r="P60" s="86"/>
    </row>
    <row r="61" spans="1:16" ht="15">
      <c r="A61" s="72"/>
      <c r="B61" s="70" t="s">
        <v>18</v>
      </c>
      <c r="C61" s="70"/>
      <c r="D61" s="9"/>
      <c r="E61" s="9"/>
      <c r="F61" s="9"/>
      <c r="G61" s="9"/>
      <c r="H61" s="9"/>
      <c r="I61" s="9"/>
      <c r="J61" s="9"/>
      <c r="K61" s="9"/>
      <c r="L61" s="86"/>
      <c r="M61" s="86"/>
      <c r="N61" s="86"/>
      <c r="O61" s="86"/>
      <c r="P61" s="86"/>
    </row>
    <row r="62" spans="1:16" ht="15">
      <c r="A62" s="72">
        <v>3</v>
      </c>
      <c r="B62" s="73" t="s">
        <v>20</v>
      </c>
      <c r="C62" s="73"/>
      <c r="D62" s="10"/>
      <c r="E62" s="10"/>
      <c r="F62" s="10"/>
      <c r="G62" s="10"/>
      <c r="H62" s="10"/>
      <c r="I62" s="10"/>
      <c r="J62" s="10"/>
      <c r="K62" s="10"/>
      <c r="L62" s="86"/>
      <c r="M62" s="86"/>
      <c r="N62" s="86"/>
      <c r="O62" s="86"/>
      <c r="P62" s="86"/>
    </row>
    <row r="63" spans="1:16" ht="15" customHeight="1">
      <c r="A63" s="72"/>
      <c r="B63" s="74" t="s">
        <v>21</v>
      </c>
      <c r="C63" s="74"/>
      <c r="D63" s="8"/>
      <c r="E63" s="8"/>
      <c r="F63" s="8"/>
      <c r="G63" s="8"/>
      <c r="H63" s="8"/>
      <c r="I63" s="8"/>
      <c r="J63" s="8"/>
      <c r="K63" s="8"/>
      <c r="L63" s="86"/>
      <c r="M63" s="86"/>
      <c r="N63" s="86"/>
      <c r="O63" s="86"/>
      <c r="P63" s="86"/>
    </row>
    <row r="64" spans="1:16" ht="15" customHeight="1">
      <c r="A64" s="72"/>
      <c r="B64" s="74" t="s">
        <v>22</v>
      </c>
      <c r="C64" s="74"/>
      <c r="D64" s="8"/>
      <c r="E64" s="8"/>
      <c r="F64" s="8"/>
      <c r="G64" s="8"/>
      <c r="H64" s="8"/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23</v>
      </c>
      <c r="C65" s="74"/>
      <c r="D65" s="8"/>
      <c r="E65" s="8"/>
      <c r="F65" s="8"/>
      <c r="G65" s="8"/>
      <c r="H65" s="8"/>
      <c r="I65" s="8"/>
      <c r="J65" s="8"/>
      <c r="K65" s="8"/>
      <c r="L65" s="86"/>
      <c r="M65" s="86"/>
      <c r="N65" s="86"/>
      <c r="O65" s="86"/>
      <c r="P65" s="86"/>
    </row>
    <row r="66" spans="1:16" ht="15">
      <c r="A66" s="72"/>
      <c r="B66" s="70" t="s">
        <v>18</v>
      </c>
      <c r="C66" s="70"/>
      <c r="D66" s="9"/>
      <c r="E66" s="9"/>
      <c r="F66" s="9"/>
      <c r="G66" s="9"/>
      <c r="H66" s="9"/>
      <c r="I66" s="9"/>
      <c r="J66" s="9"/>
      <c r="K66" s="9"/>
      <c r="L66" s="86"/>
      <c r="M66" s="86"/>
      <c r="N66" s="86"/>
      <c r="O66" s="86"/>
      <c r="P66" s="86"/>
    </row>
    <row r="67" spans="1:16" ht="15">
      <c r="A67" s="72">
        <v>4</v>
      </c>
      <c r="B67" s="73" t="s">
        <v>24</v>
      </c>
      <c r="C67" s="73"/>
      <c r="D67" s="10"/>
      <c r="E67" s="10"/>
      <c r="F67" s="10"/>
      <c r="G67" s="10"/>
      <c r="H67" s="10"/>
      <c r="I67" s="10"/>
      <c r="J67" s="10"/>
      <c r="K67" s="10"/>
      <c r="L67" s="86"/>
      <c r="M67" s="86"/>
      <c r="N67" s="86"/>
      <c r="O67" s="86"/>
      <c r="P67" s="86"/>
    </row>
    <row r="68" spans="1:16" ht="15" customHeight="1">
      <c r="A68" s="72"/>
      <c r="B68" s="74" t="s">
        <v>25</v>
      </c>
      <c r="C68" s="74"/>
      <c r="D68" s="8"/>
      <c r="E68" s="8"/>
      <c r="F68" s="8"/>
      <c r="G68" s="8"/>
      <c r="H68" s="8"/>
      <c r="I68" s="8"/>
      <c r="J68" s="8"/>
      <c r="K68" s="8"/>
      <c r="L68" s="86"/>
      <c r="M68" s="86"/>
      <c r="N68" s="86"/>
      <c r="O68" s="86"/>
      <c r="P68" s="86"/>
    </row>
    <row r="69" spans="1:16" ht="15" customHeight="1">
      <c r="A69" s="72"/>
      <c r="B69" s="74" t="s">
        <v>26</v>
      </c>
      <c r="C69" s="74"/>
      <c r="D69" s="8"/>
      <c r="E69" s="8"/>
      <c r="F69" s="8"/>
      <c r="G69" s="8"/>
      <c r="H69" s="8"/>
      <c r="I69" s="8"/>
      <c r="J69" s="8"/>
      <c r="K69" s="8"/>
      <c r="L69" s="86"/>
      <c r="M69" s="86"/>
      <c r="N69" s="86"/>
      <c r="O69" s="86"/>
      <c r="P69" s="86"/>
    </row>
    <row r="70" spans="1:16" ht="15">
      <c r="A70" s="72"/>
      <c r="B70" s="70" t="s">
        <v>18</v>
      </c>
      <c r="C70" s="70"/>
      <c r="D70" s="9"/>
      <c r="E70" s="9"/>
      <c r="F70" s="9"/>
      <c r="G70" s="9"/>
      <c r="H70" s="9"/>
      <c r="I70" s="9"/>
      <c r="J70" s="9"/>
      <c r="K70" s="9"/>
      <c r="L70" s="86"/>
      <c r="M70" s="86"/>
      <c r="N70" s="86"/>
      <c r="O70" s="86"/>
      <c r="P70" s="86"/>
    </row>
    <row r="71" spans="1:16" ht="15">
      <c r="A71" s="72">
        <v>5</v>
      </c>
      <c r="B71" s="73" t="s">
        <v>27</v>
      </c>
      <c r="C71" s="73"/>
      <c r="D71" s="8"/>
      <c r="E71" s="8"/>
      <c r="F71" s="8"/>
      <c r="G71" s="8"/>
      <c r="H71" s="8"/>
      <c r="I71" s="8"/>
      <c r="J71" s="8"/>
      <c r="K71" s="8"/>
      <c r="L71" s="86"/>
      <c r="M71" s="86"/>
      <c r="N71" s="86"/>
      <c r="O71" s="86"/>
      <c r="P71" s="86"/>
    </row>
    <row r="72" spans="1:16" ht="15">
      <c r="A72" s="72"/>
      <c r="B72" s="70" t="s">
        <v>18</v>
      </c>
      <c r="C72" s="70"/>
      <c r="D72" s="9"/>
      <c r="E72" s="9"/>
      <c r="F72" s="9"/>
      <c r="G72" s="9"/>
      <c r="H72" s="9"/>
      <c r="I72" s="9"/>
      <c r="J72" s="9"/>
      <c r="K72" s="9"/>
      <c r="L72" s="86"/>
      <c r="M72" s="86"/>
      <c r="N72" s="86"/>
      <c r="O72" s="86"/>
      <c r="P72" s="86"/>
    </row>
    <row r="73" spans="1:16" ht="15">
      <c r="A73" s="72">
        <v>6</v>
      </c>
      <c r="B73" s="73" t="s">
        <v>28</v>
      </c>
      <c r="C73" s="73"/>
      <c r="D73" s="10"/>
      <c r="E73" s="10"/>
      <c r="F73" s="10"/>
      <c r="G73" s="10"/>
      <c r="H73" s="10"/>
      <c r="I73" s="10"/>
      <c r="J73" s="10"/>
      <c r="K73" s="10"/>
      <c r="L73" s="86"/>
      <c r="M73" s="86"/>
      <c r="N73" s="86"/>
      <c r="O73" s="86"/>
      <c r="P73" s="86"/>
    </row>
    <row r="74" spans="1:16" ht="15" customHeight="1">
      <c r="A74" s="72"/>
      <c r="B74" s="74" t="s">
        <v>29</v>
      </c>
      <c r="C74" s="74"/>
      <c r="D74" s="8"/>
      <c r="E74" s="8"/>
      <c r="F74" s="8"/>
      <c r="G74" s="8"/>
      <c r="H74" s="8"/>
      <c r="I74" s="8"/>
      <c r="J74" s="8"/>
      <c r="K74" s="8"/>
      <c r="L74" s="86"/>
      <c r="M74" s="86"/>
      <c r="N74" s="86"/>
      <c r="O74" s="86"/>
      <c r="P74" s="86"/>
    </row>
    <row r="75" spans="1:16" ht="15" customHeight="1">
      <c r="A75" s="72"/>
      <c r="B75" s="74" t="s">
        <v>30</v>
      </c>
      <c r="C75" s="74"/>
      <c r="D75" s="8"/>
      <c r="E75" s="8"/>
      <c r="F75" s="8"/>
      <c r="G75" s="8"/>
      <c r="H75" s="8"/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31</v>
      </c>
      <c r="C76" s="74"/>
      <c r="D76" s="8"/>
      <c r="E76" s="8"/>
      <c r="F76" s="8"/>
      <c r="G76" s="8"/>
      <c r="H76" s="8"/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32</v>
      </c>
      <c r="C77" s="74"/>
      <c r="D77" s="8"/>
      <c r="E77" s="8"/>
      <c r="F77" s="8"/>
      <c r="G77" s="8"/>
      <c r="H77" s="8"/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33</v>
      </c>
      <c r="C78" s="74"/>
      <c r="D78" s="8"/>
      <c r="E78" s="8"/>
      <c r="F78" s="8"/>
      <c r="G78" s="8"/>
      <c r="H78" s="8"/>
      <c r="I78" s="8"/>
      <c r="J78" s="8"/>
      <c r="K78" s="8"/>
      <c r="L78" s="86"/>
      <c r="M78" s="86"/>
      <c r="N78" s="86"/>
      <c r="O78" s="86"/>
      <c r="P78" s="86"/>
    </row>
    <row r="79" spans="1:16" ht="15">
      <c r="A79" s="72"/>
      <c r="B79" s="70" t="s">
        <v>18</v>
      </c>
      <c r="C79" s="70"/>
      <c r="D79" s="9"/>
      <c r="E79" s="9"/>
      <c r="F79" s="9"/>
      <c r="G79" s="9"/>
      <c r="H79" s="9"/>
      <c r="I79" s="9"/>
      <c r="J79" s="9"/>
      <c r="K79" s="9"/>
      <c r="L79" s="86"/>
      <c r="M79" s="86"/>
      <c r="N79" s="86"/>
      <c r="O79" s="86"/>
      <c r="P79" s="86"/>
    </row>
    <row r="80" spans="1:16" ht="15">
      <c r="A80" s="72">
        <v>7</v>
      </c>
      <c r="B80" s="73" t="s">
        <v>34</v>
      </c>
      <c r="C80" s="73"/>
      <c r="D80" s="10"/>
      <c r="E80" s="10"/>
      <c r="F80" s="10"/>
      <c r="G80" s="10"/>
      <c r="H80" s="10"/>
      <c r="I80" s="10"/>
      <c r="J80" s="10"/>
      <c r="K80" s="10"/>
      <c r="L80" s="86"/>
      <c r="M80" s="86"/>
      <c r="N80" s="86"/>
      <c r="O80" s="86"/>
      <c r="P80" s="86"/>
    </row>
    <row r="81" spans="1:16" ht="15" customHeight="1">
      <c r="A81" s="72"/>
      <c r="B81" s="74" t="s">
        <v>35</v>
      </c>
      <c r="C81" s="74"/>
      <c r="D81" s="8"/>
      <c r="E81" s="8"/>
      <c r="F81" s="8"/>
      <c r="G81" s="8"/>
      <c r="H81" s="8"/>
      <c r="I81" s="8"/>
      <c r="J81" s="8"/>
      <c r="K81" s="8"/>
      <c r="L81" s="86"/>
      <c r="M81" s="86"/>
      <c r="N81" s="86"/>
      <c r="O81" s="86"/>
      <c r="P81" s="86"/>
    </row>
    <row r="82" spans="1:16" ht="15" customHeight="1">
      <c r="A82" s="72"/>
      <c r="B82" s="74" t="s">
        <v>36</v>
      </c>
      <c r="C82" s="74"/>
      <c r="D82" s="8"/>
      <c r="E82" s="8"/>
      <c r="F82" s="8"/>
      <c r="G82" s="8"/>
      <c r="H82" s="8"/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37</v>
      </c>
      <c r="C83" s="74"/>
      <c r="D83" s="8"/>
      <c r="E83" s="8"/>
      <c r="F83" s="8"/>
      <c r="G83" s="8"/>
      <c r="H83" s="8"/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38</v>
      </c>
      <c r="C84" s="74"/>
      <c r="D84" s="8"/>
      <c r="E84" s="8"/>
      <c r="F84" s="8"/>
      <c r="G84" s="8"/>
      <c r="H84" s="8"/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39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40</v>
      </c>
      <c r="C86" s="74"/>
      <c r="D86" s="8"/>
      <c r="E86" s="8"/>
      <c r="F86" s="8"/>
      <c r="G86" s="8"/>
      <c r="H86" s="8"/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41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42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68" t="s">
        <v>43</v>
      </c>
      <c r="C89" s="69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>
      <c r="A90" s="72"/>
      <c r="B90" s="70" t="s">
        <v>18</v>
      </c>
      <c r="C90" s="70"/>
      <c r="D90" s="9"/>
      <c r="E90" s="9"/>
      <c r="F90" s="9"/>
      <c r="G90" s="9"/>
      <c r="H90" s="9"/>
      <c r="I90" s="9"/>
      <c r="J90" s="9"/>
      <c r="K90" s="9"/>
      <c r="L90" s="86"/>
      <c r="M90" s="86"/>
      <c r="N90" s="86"/>
      <c r="O90" s="86"/>
      <c r="P90" s="86"/>
    </row>
    <row r="92" spans="1:16" ht="15">
      <c r="B92" s="71" t="s">
        <v>44</v>
      </c>
      <c r="C92" s="71"/>
      <c r="D92" s="1">
        <f>SUM(D58:D89)</f>
        <v>0</v>
      </c>
      <c r="E92" s="1">
        <f t="shared" ref="E92:K92" si="3">SUM(E58:E89)</f>
        <v>0</v>
      </c>
      <c r="F92" s="1">
        <f t="shared" si="3"/>
        <v>0</v>
      </c>
      <c r="G92" s="1">
        <f t="shared" si="3"/>
        <v>0</v>
      </c>
      <c r="H92" s="1">
        <f t="shared" si="3"/>
        <v>0</v>
      </c>
      <c r="I92" s="1">
        <f t="shared" si="3"/>
        <v>0</v>
      </c>
      <c r="J92" s="1">
        <f t="shared" si="3"/>
        <v>0</v>
      </c>
      <c r="K92" s="1">
        <f t="shared" si="3"/>
        <v>0</v>
      </c>
      <c r="M92" s="17" t="s">
        <v>2</v>
      </c>
      <c r="N92" s="17" t="s">
        <v>3</v>
      </c>
    </row>
    <row r="93" spans="1:16" ht="15">
      <c r="C93" s="64"/>
      <c r="D93" s="1">
        <f>COUNT(D58:D90)*5</f>
        <v>0</v>
      </c>
      <c r="E93" s="1">
        <f t="shared" ref="E93:K93" si="4">COUNT(E58:E90)*5</f>
        <v>0</v>
      </c>
      <c r="F93" s="1">
        <f t="shared" si="4"/>
        <v>0</v>
      </c>
      <c r="G93" s="1">
        <f t="shared" si="4"/>
        <v>0</v>
      </c>
      <c r="H93" s="1">
        <f t="shared" si="4"/>
        <v>0</v>
      </c>
      <c r="I93" s="1">
        <f t="shared" si="4"/>
        <v>0</v>
      </c>
      <c r="J93" s="1">
        <f t="shared" si="4"/>
        <v>0</v>
      </c>
      <c r="K93" s="1">
        <f t="shared" si="4"/>
        <v>0</v>
      </c>
      <c r="M93" s="18" t="e">
        <f>(D94+F94+H94+J94)/4</f>
        <v>#DIV/0!</v>
      </c>
      <c r="N93" s="18" t="e">
        <f>(E94+G94+I94+K94)/4</f>
        <v>#DIV/0!</v>
      </c>
    </row>
    <row r="94" spans="1:16" ht="15">
      <c r="C94" s="2" t="s">
        <v>45</v>
      </c>
      <c r="D94" s="11" t="e">
        <f>D92/D93</f>
        <v>#DIV/0!</v>
      </c>
      <c r="E94" s="11" t="e">
        <f t="shared" ref="E94:K94" si="5">E92/E93</f>
        <v>#DIV/0!</v>
      </c>
      <c r="F94" s="11" t="e">
        <f t="shared" si="5"/>
        <v>#DIV/0!</v>
      </c>
      <c r="G94" s="11" t="e">
        <f t="shared" si="5"/>
        <v>#DIV/0!</v>
      </c>
      <c r="H94" s="11" t="e">
        <f t="shared" si="5"/>
        <v>#DIV/0!</v>
      </c>
      <c r="I94" s="11" t="e">
        <f t="shared" si="5"/>
        <v>#DIV/0!</v>
      </c>
      <c r="J94" s="11" t="e">
        <f t="shared" si="5"/>
        <v>#DIV/0!</v>
      </c>
      <c r="K94" s="11" t="e">
        <f t="shared" si="5"/>
        <v>#DIV/0!</v>
      </c>
      <c r="L94" s="4"/>
      <c r="M94" s="4"/>
      <c r="N94" s="4"/>
      <c r="O94" s="4"/>
      <c r="P94" s="4"/>
    </row>
    <row r="95" spans="1:16" s="22" customFormat="1"/>
    <row r="96" spans="1:16" ht="18">
      <c r="B96" s="16" t="s">
        <v>47</v>
      </c>
      <c r="C96" s="23" t="s">
        <v>6</v>
      </c>
      <c r="D96" s="75" t="s">
        <v>7</v>
      </c>
      <c r="E96" s="76"/>
      <c r="F96" s="75" t="s">
        <v>8</v>
      </c>
      <c r="G96" s="76"/>
      <c r="H96" s="75" t="s">
        <v>9</v>
      </c>
      <c r="I96" s="76"/>
      <c r="J96" s="75" t="s">
        <v>10</v>
      </c>
      <c r="K96" s="76"/>
    </row>
    <row r="97" spans="1:16" s="1" customFormat="1" ht="15">
      <c r="A97" s="77" t="s">
        <v>11</v>
      </c>
      <c r="B97" s="77" t="s">
        <v>12</v>
      </c>
      <c r="C97" s="6" t="s">
        <v>13</v>
      </c>
      <c r="D97" s="29"/>
      <c r="E97" s="29"/>
      <c r="F97" s="29"/>
      <c r="G97" s="29"/>
      <c r="H97" s="29"/>
      <c r="I97" s="29"/>
      <c r="J97" s="29"/>
      <c r="K97" s="29"/>
      <c r="L97" s="80" t="s">
        <v>14</v>
      </c>
      <c r="M97" s="81"/>
      <c r="N97" s="81"/>
      <c r="O97" s="81"/>
      <c r="P97" s="81"/>
    </row>
    <row r="98" spans="1:16" s="1" customFormat="1" ht="15">
      <c r="A98" s="78"/>
      <c r="B98" s="78"/>
      <c r="C98" s="6"/>
      <c r="D98" s="7" t="s">
        <v>2</v>
      </c>
      <c r="E98" s="7" t="s">
        <v>15</v>
      </c>
      <c r="F98" s="7" t="s">
        <v>2</v>
      </c>
      <c r="G98" s="7" t="s">
        <v>15</v>
      </c>
      <c r="H98" s="7" t="s">
        <v>2</v>
      </c>
      <c r="I98" s="7" t="s">
        <v>15</v>
      </c>
      <c r="J98" s="7" t="s">
        <v>2</v>
      </c>
      <c r="K98" s="7" t="s">
        <v>15</v>
      </c>
      <c r="L98" s="80"/>
      <c r="M98" s="81"/>
      <c r="N98" s="81"/>
      <c r="O98" s="81"/>
      <c r="P98" s="81"/>
    </row>
    <row r="99" spans="1:16" s="1" customFormat="1" ht="15">
      <c r="A99" s="79"/>
      <c r="B99" s="79"/>
      <c r="C99" s="6" t="s">
        <v>16</v>
      </c>
      <c r="D99" s="6"/>
      <c r="E99" s="6"/>
      <c r="F99" s="6"/>
      <c r="G99" s="6"/>
      <c r="H99" s="6"/>
      <c r="I99" s="6"/>
      <c r="J99" s="6"/>
      <c r="K99" s="6"/>
      <c r="L99" s="80"/>
      <c r="M99" s="81"/>
      <c r="N99" s="81"/>
      <c r="O99" s="81"/>
      <c r="P99" s="81"/>
    </row>
    <row r="100" spans="1:16" ht="15">
      <c r="A100" s="82">
        <v>1</v>
      </c>
      <c r="B100" s="84" t="s">
        <v>17</v>
      </c>
      <c r="C100" s="85"/>
      <c r="D100" s="8"/>
      <c r="E100" s="8"/>
      <c r="F100" s="8"/>
      <c r="G100" s="8"/>
      <c r="H100" s="8"/>
      <c r="I100" s="8"/>
      <c r="J100" s="8"/>
      <c r="K100" s="8"/>
      <c r="L100" s="86"/>
      <c r="M100" s="86"/>
      <c r="N100" s="86"/>
      <c r="O100" s="86"/>
      <c r="P100" s="86"/>
    </row>
    <row r="101" spans="1:16" ht="15">
      <c r="A101" s="83"/>
      <c r="B101" s="87" t="s">
        <v>18</v>
      </c>
      <c r="C101" s="88"/>
      <c r="D101" s="9"/>
      <c r="E101" s="9"/>
      <c r="F101" s="9"/>
      <c r="G101" s="9"/>
      <c r="H101" s="9"/>
      <c r="I101" s="9"/>
      <c r="J101" s="9"/>
      <c r="K101" s="9"/>
      <c r="L101" s="86"/>
      <c r="M101" s="86"/>
      <c r="N101" s="86"/>
      <c r="O101" s="86"/>
      <c r="P101" s="86"/>
    </row>
    <row r="102" spans="1:16" ht="15">
      <c r="A102" s="72">
        <v>2</v>
      </c>
      <c r="B102" s="73" t="s">
        <v>19</v>
      </c>
      <c r="C102" s="73"/>
      <c r="D102" s="8"/>
      <c r="E102" s="8"/>
      <c r="F102" s="8"/>
      <c r="G102" s="8"/>
      <c r="H102" s="8"/>
      <c r="I102" s="8"/>
      <c r="J102" s="8"/>
      <c r="K102" s="8"/>
      <c r="L102" s="86"/>
      <c r="M102" s="86"/>
      <c r="N102" s="86"/>
      <c r="O102" s="86"/>
      <c r="P102" s="86"/>
    </row>
    <row r="103" spans="1:16" ht="15">
      <c r="A103" s="72"/>
      <c r="B103" s="70" t="s">
        <v>18</v>
      </c>
      <c r="C103" s="70"/>
      <c r="D103" s="9"/>
      <c r="E103" s="9"/>
      <c r="F103" s="9"/>
      <c r="G103" s="9"/>
      <c r="H103" s="9"/>
      <c r="I103" s="9"/>
      <c r="J103" s="9"/>
      <c r="K103" s="9"/>
      <c r="L103" s="86"/>
      <c r="M103" s="86"/>
      <c r="N103" s="86"/>
      <c r="O103" s="86"/>
      <c r="P103" s="86"/>
    </row>
    <row r="104" spans="1:16" ht="15">
      <c r="A104" s="72">
        <v>3</v>
      </c>
      <c r="B104" s="73" t="s">
        <v>20</v>
      </c>
      <c r="C104" s="73"/>
      <c r="D104" s="10"/>
      <c r="E104" s="10"/>
      <c r="F104" s="10"/>
      <c r="G104" s="10"/>
      <c r="H104" s="10"/>
      <c r="I104" s="10"/>
      <c r="J104" s="10"/>
      <c r="K104" s="10"/>
      <c r="L104" s="86"/>
      <c r="M104" s="86"/>
      <c r="N104" s="86"/>
      <c r="O104" s="86"/>
      <c r="P104" s="86"/>
    </row>
    <row r="105" spans="1:16" ht="15" customHeight="1">
      <c r="A105" s="72"/>
      <c r="B105" s="74" t="s">
        <v>21</v>
      </c>
      <c r="C105" s="74"/>
      <c r="D105" s="8"/>
      <c r="E105" s="8"/>
      <c r="F105" s="8"/>
      <c r="G105" s="8"/>
      <c r="H105" s="8"/>
      <c r="I105" s="8"/>
      <c r="J105" s="8"/>
      <c r="K105" s="8"/>
      <c r="L105" s="86"/>
      <c r="M105" s="86"/>
      <c r="N105" s="86"/>
      <c r="O105" s="86"/>
      <c r="P105" s="86"/>
    </row>
    <row r="106" spans="1:16" ht="15" customHeight="1">
      <c r="A106" s="72"/>
      <c r="B106" s="74" t="s">
        <v>22</v>
      </c>
      <c r="C106" s="74"/>
      <c r="D106" s="8"/>
      <c r="E106" s="8"/>
      <c r="F106" s="8"/>
      <c r="G106" s="8"/>
      <c r="H106" s="8"/>
      <c r="I106" s="8"/>
      <c r="J106" s="8"/>
      <c r="K106" s="8"/>
      <c r="L106" s="86"/>
      <c r="M106" s="86"/>
      <c r="N106" s="86"/>
      <c r="O106" s="86"/>
      <c r="P106" s="86"/>
    </row>
    <row r="107" spans="1:16" ht="15" customHeight="1">
      <c r="A107" s="72"/>
      <c r="B107" s="74" t="s">
        <v>23</v>
      </c>
      <c r="C107" s="74"/>
      <c r="D107" s="8"/>
      <c r="E107" s="8"/>
      <c r="F107" s="8"/>
      <c r="G107" s="8"/>
      <c r="H107" s="8"/>
      <c r="I107" s="8"/>
      <c r="J107" s="8"/>
      <c r="K107" s="8"/>
      <c r="L107" s="86"/>
      <c r="M107" s="86"/>
      <c r="N107" s="86"/>
      <c r="O107" s="86"/>
      <c r="P107" s="86"/>
    </row>
    <row r="108" spans="1:16" ht="15">
      <c r="A108" s="72"/>
      <c r="B108" s="70" t="s">
        <v>18</v>
      </c>
      <c r="C108" s="70"/>
      <c r="D108" s="9"/>
      <c r="E108" s="9"/>
      <c r="F108" s="9"/>
      <c r="G108" s="9"/>
      <c r="H108" s="9"/>
      <c r="I108" s="9"/>
      <c r="J108" s="9"/>
      <c r="K108" s="9"/>
      <c r="L108" s="86"/>
      <c r="M108" s="86"/>
      <c r="N108" s="86"/>
      <c r="O108" s="86"/>
      <c r="P108" s="86"/>
    </row>
    <row r="109" spans="1:16" ht="15">
      <c r="A109" s="72">
        <v>4</v>
      </c>
      <c r="B109" s="73" t="s">
        <v>24</v>
      </c>
      <c r="C109" s="73"/>
      <c r="D109" s="10"/>
      <c r="E109" s="10"/>
      <c r="F109" s="10"/>
      <c r="G109" s="10"/>
      <c r="H109" s="10"/>
      <c r="I109" s="10"/>
      <c r="J109" s="10"/>
      <c r="K109" s="10"/>
      <c r="L109" s="86"/>
      <c r="M109" s="86"/>
      <c r="N109" s="86"/>
      <c r="O109" s="86"/>
      <c r="P109" s="86"/>
    </row>
    <row r="110" spans="1:16" ht="15" customHeight="1">
      <c r="A110" s="72"/>
      <c r="B110" s="74" t="s">
        <v>25</v>
      </c>
      <c r="C110" s="74"/>
      <c r="D110" s="8"/>
      <c r="E110" s="8"/>
      <c r="F110" s="8"/>
      <c r="G110" s="8"/>
      <c r="H110" s="8"/>
      <c r="I110" s="8"/>
      <c r="J110" s="8"/>
      <c r="K110" s="8"/>
      <c r="L110" s="86"/>
      <c r="M110" s="86"/>
      <c r="N110" s="86"/>
      <c r="O110" s="86"/>
      <c r="P110" s="86"/>
    </row>
    <row r="111" spans="1:16" ht="15" customHeight="1">
      <c r="A111" s="72"/>
      <c r="B111" s="74" t="s">
        <v>26</v>
      </c>
      <c r="C111" s="74"/>
      <c r="D111" s="8"/>
      <c r="E111" s="8"/>
      <c r="F111" s="8"/>
      <c r="G111" s="8"/>
      <c r="H111" s="8"/>
      <c r="I111" s="8"/>
      <c r="J111" s="8"/>
      <c r="K111" s="8"/>
      <c r="L111" s="86"/>
      <c r="M111" s="86"/>
      <c r="N111" s="86"/>
      <c r="O111" s="86"/>
      <c r="P111" s="86"/>
    </row>
    <row r="112" spans="1:16" ht="15">
      <c r="A112" s="72"/>
      <c r="B112" s="70" t="s">
        <v>18</v>
      </c>
      <c r="C112" s="70"/>
      <c r="D112" s="9"/>
      <c r="E112" s="9"/>
      <c r="F112" s="9"/>
      <c r="G112" s="9"/>
      <c r="H112" s="9"/>
      <c r="I112" s="9"/>
      <c r="J112" s="9"/>
      <c r="K112" s="9"/>
      <c r="L112" s="86"/>
      <c r="M112" s="86"/>
      <c r="N112" s="86"/>
      <c r="O112" s="86"/>
      <c r="P112" s="86"/>
    </row>
    <row r="113" spans="1:16" ht="15">
      <c r="A113" s="72">
        <v>5</v>
      </c>
      <c r="B113" s="73" t="s">
        <v>27</v>
      </c>
      <c r="C113" s="73"/>
      <c r="D113" s="8"/>
      <c r="E113" s="8"/>
      <c r="F113" s="8"/>
      <c r="G113" s="8"/>
      <c r="H113" s="8"/>
      <c r="I113" s="8"/>
      <c r="J113" s="8"/>
      <c r="K113" s="8"/>
      <c r="L113" s="86"/>
      <c r="M113" s="86"/>
      <c r="N113" s="86"/>
      <c r="O113" s="86"/>
      <c r="P113" s="86"/>
    </row>
    <row r="114" spans="1:16" ht="15">
      <c r="A114" s="72"/>
      <c r="B114" s="70" t="s">
        <v>18</v>
      </c>
      <c r="C114" s="70"/>
      <c r="D114" s="9"/>
      <c r="E114" s="9"/>
      <c r="F114" s="9"/>
      <c r="G114" s="9"/>
      <c r="H114" s="9"/>
      <c r="I114" s="9"/>
      <c r="J114" s="9"/>
      <c r="K114" s="9"/>
      <c r="L114" s="86"/>
      <c r="M114" s="86"/>
      <c r="N114" s="86"/>
      <c r="O114" s="86"/>
      <c r="P114" s="86"/>
    </row>
    <row r="115" spans="1:16" ht="15">
      <c r="A115" s="72">
        <v>6</v>
      </c>
      <c r="B115" s="73" t="s">
        <v>28</v>
      </c>
      <c r="C115" s="73"/>
      <c r="D115" s="10"/>
      <c r="E115" s="10"/>
      <c r="F115" s="10"/>
      <c r="G115" s="10"/>
      <c r="H115" s="10"/>
      <c r="I115" s="10"/>
      <c r="J115" s="10"/>
      <c r="K115" s="10"/>
      <c r="L115" s="86"/>
      <c r="M115" s="86"/>
      <c r="N115" s="86"/>
      <c r="O115" s="86"/>
      <c r="P115" s="86"/>
    </row>
    <row r="116" spans="1:16" ht="15" customHeight="1">
      <c r="A116" s="72"/>
      <c r="B116" s="74" t="s">
        <v>29</v>
      </c>
      <c r="C116" s="74"/>
      <c r="D116" s="8"/>
      <c r="E116" s="8"/>
      <c r="F116" s="8"/>
      <c r="G116" s="8"/>
      <c r="H116" s="8"/>
      <c r="I116" s="8"/>
      <c r="J116" s="8"/>
      <c r="K116" s="8"/>
      <c r="L116" s="86"/>
      <c r="M116" s="86"/>
      <c r="N116" s="86"/>
      <c r="O116" s="86"/>
      <c r="P116" s="86"/>
    </row>
    <row r="117" spans="1:16" ht="15" customHeight="1">
      <c r="A117" s="72"/>
      <c r="B117" s="74" t="s">
        <v>30</v>
      </c>
      <c r="C117" s="74"/>
      <c r="D117" s="8"/>
      <c r="E117" s="8"/>
      <c r="F117" s="8"/>
      <c r="G117" s="8"/>
      <c r="H117" s="8"/>
      <c r="I117" s="8"/>
      <c r="J117" s="8"/>
      <c r="K117" s="8"/>
      <c r="L117" s="86"/>
      <c r="M117" s="86"/>
      <c r="N117" s="86"/>
      <c r="O117" s="86"/>
      <c r="P117" s="86"/>
    </row>
    <row r="118" spans="1:16" ht="15" customHeight="1">
      <c r="A118" s="72"/>
      <c r="B118" s="74" t="s">
        <v>31</v>
      </c>
      <c r="C118" s="74"/>
      <c r="D118" s="8"/>
      <c r="E118" s="8"/>
      <c r="F118" s="8"/>
      <c r="G118" s="8"/>
      <c r="H118" s="8"/>
      <c r="I118" s="8"/>
      <c r="J118" s="8"/>
      <c r="K118" s="8"/>
      <c r="L118" s="86"/>
      <c r="M118" s="86"/>
      <c r="N118" s="86"/>
      <c r="O118" s="86"/>
      <c r="P118" s="86"/>
    </row>
    <row r="119" spans="1:16" ht="15" customHeight="1">
      <c r="A119" s="72"/>
      <c r="B119" s="74" t="s">
        <v>32</v>
      </c>
      <c r="C119" s="74"/>
      <c r="D119" s="8"/>
      <c r="E119" s="8"/>
      <c r="F119" s="8"/>
      <c r="G119" s="8"/>
      <c r="H119" s="8"/>
      <c r="I119" s="8"/>
      <c r="J119" s="8"/>
      <c r="K119" s="8"/>
      <c r="L119" s="86"/>
      <c r="M119" s="86"/>
      <c r="N119" s="86"/>
      <c r="O119" s="86"/>
      <c r="P119" s="86"/>
    </row>
    <row r="120" spans="1:16" ht="15" customHeight="1">
      <c r="A120" s="72"/>
      <c r="B120" s="74" t="s">
        <v>33</v>
      </c>
      <c r="C120" s="74"/>
      <c r="D120" s="8"/>
      <c r="E120" s="8"/>
      <c r="F120" s="8"/>
      <c r="G120" s="8"/>
      <c r="H120" s="8"/>
      <c r="I120" s="8"/>
      <c r="J120" s="8"/>
      <c r="K120" s="8"/>
      <c r="L120" s="86"/>
      <c r="M120" s="86"/>
      <c r="N120" s="86"/>
      <c r="O120" s="86"/>
      <c r="P120" s="86"/>
    </row>
    <row r="121" spans="1:16" ht="15">
      <c r="A121" s="72"/>
      <c r="B121" s="70" t="s">
        <v>18</v>
      </c>
      <c r="C121" s="70"/>
      <c r="D121" s="9"/>
      <c r="E121" s="9"/>
      <c r="F121" s="9"/>
      <c r="G121" s="9"/>
      <c r="H121" s="9"/>
      <c r="I121" s="9"/>
      <c r="J121" s="9"/>
      <c r="K121" s="9"/>
      <c r="L121" s="86"/>
      <c r="M121" s="86"/>
      <c r="N121" s="86"/>
      <c r="O121" s="86"/>
      <c r="P121" s="86"/>
    </row>
    <row r="122" spans="1:16" ht="15">
      <c r="A122" s="72">
        <v>7</v>
      </c>
      <c r="B122" s="73" t="s">
        <v>34</v>
      </c>
      <c r="C122" s="73"/>
      <c r="D122" s="10"/>
      <c r="E122" s="10"/>
      <c r="F122" s="10"/>
      <c r="G122" s="10"/>
      <c r="H122" s="10"/>
      <c r="I122" s="10"/>
      <c r="J122" s="10"/>
      <c r="K122" s="10"/>
      <c r="L122" s="86"/>
      <c r="M122" s="86"/>
      <c r="N122" s="86"/>
      <c r="O122" s="86"/>
      <c r="P122" s="86"/>
    </row>
    <row r="123" spans="1:16" ht="15" customHeight="1">
      <c r="A123" s="72"/>
      <c r="B123" s="74" t="s">
        <v>35</v>
      </c>
      <c r="C123" s="74"/>
      <c r="D123" s="8"/>
      <c r="E123" s="8"/>
      <c r="F123" s="8"/>
      <c r="G123" s="8"/>
      <c r="H123" s="8"/>
      <c r="I123" s="8"/>
      <c r="J123" s="8"/>
      <c r="K123" s="8"/>
      <c r="L123" s="86"/>
      <c r="M123" s="86"/>
      <c r="N123" s="86"/>
      <c r="O123" s="86"/>
      <c r="P123" s="86"/>
    </row>
    <row r="124" spans="1:16" ht="15" customHeight="1">
      <c r="A124" s="72"/>
      <c r="B124" s="74" t="s">
        <v>36</v>
      </c>
      <c r="C124" s="74"/>
      <c r="D124" s="8"/>
      <c r="E124" s="8"/>
      <c r="F124" s="8"/>
      <c r="G124" s="8"/>
      <c r="H124" s="8"/>
      <c r="I124" s="8"/>
      <c r="J124" s="8"/>
      <c r="K124" s="8"/>
      <c r="L124" s="86"/>
      <c r="M124" s="86"/>
      <c r="N124" s="86"/>
      <c r="O124" s="86"/>
      <c r="P124" s="86"/>
    </row>
    <row r="125" spans="1:16" ht="15" customHeight="1">
      <c r="A125" s="72"/>
      <c r="B125" s="74" t="s">
        <v>37</v>
      </c>
      <c r="C125" s="74"/>
      <c r="D125" s="8"/>
      <c r="E125" s="8"/>
      <c r="F125" s="8"/>
      <c r="G125" s="8"/>
      <c r="H125" s="8"/>
      <c r="I125" s="8"/>
      <c r="J125" s="8"/>
      <c r="K125" s="8"/>
      <c r="L125" s="86"/>
      <c r="M125" s="86"/>
      <c r="N125" s="86"/>
      <c r="O125" s="86"/>
      <c r="P125" s="86"/>
    </row>
    <row r="126" spans="1:16" ht="15" customHeight="1">
      <c r="A126" s="72"/>
      <c r="B126" s="74" t="s">
        <v>38</v>
      </c>
      <c r="C126" s="74"/>
      <c r="D126" s="8"/>
      <c r="E126" s="8"/>
      <c r="F126" s="8"/>
      <c r="G126" s="8"/>
      <c r="H126" s="8"/>
      <c r="I126" s="8"/>
      <c r="J126" s="8"/>
      <c r="K126" s="8"/>
      <c r="L126" s="86"/>
      <c r="M126" s="86"/>
      <c r="N126" s="86"/>
      <c r="O126" s="86"/>
      <c r="P126" s="86"/>
    </row>
    <row r="127" spans="1:16" ht="15" customHeight="1">
      <c r="A127" s="72"/>
      <c r="B127" s="74" t="s">
        <v>39</v>
      </c>
      <c r="C127" s="74"/>
      <c r="D127" s="8"/>
      <c r="E127" s="8"/>
      <c r="F127" s="8"/>
      <c r="G127" s="8"/>
      <c r="H127" s="8"/>
      <c r="I127" s="8"/>
      <c r="J127" s="8"/>
      <c r="K127" s="8"/>
      <c r="L127" s="86"/>
      <c r="M127" s="86"/>
      <c r="N127" s="86"/>
      <c r="O127" s="86"/>
      <c r="P127" s="86"/>
    </row>
    <row r="128" spans="1:16" ht="15" customHeight="1">
      <c r="A128" s="72"/>
      <c r="B128" s="74" t="s">
        <v>40</v>
      </c>
      <c r="C128" s="74"/>
      <c r="D128" s="8"/>
      <c r="E128" s="8"/>
      <c r="F128" s="8"/>
      <c r="G128" s="8"/>
      <c r="H128" s="8"/>
      <c r="I128" s="8"/>
      <c r="J128" s="8"/>
      <c r="K128" s="8"/>
      <c r="L128" s="86"/>
      <c r="M128" s="86"/>
      <c r="N128" s="86"/>
      <c r="O128" s="86"/>
      <c r="P128" s="86"/>
    </row>
    <row r="129" spans="1:16" ht="15" customHeight="1">
      <c r="A129" s="72"/>
      <c r="B129" s="74" t="s">
        <v>41</v>
      </c>
      <c r="C129" s="74"/>
      <c r="D129" s="8"/>
      <c r="E129" s="8"/>
      <c r="F129" s="8"/>
      <c r="G129" s="8"/>
      <c r="H129" s="8"/>
      <c r="I129" s="8"/>
      <c r="J129" s="8"/>
      <c r="K129" s="8"/>
      <c r="L129" s="86"/>
      <c r="M129" s="86"/>
      <c r="N129" s="86"/>
      <c r="O129" s="86"/>
      <c r="P129" s="86"/>
    </row>
    <row r="130" spans="1:16" ht="15" customHeight="1">
      <c r="A130" s="72"/>
      <c r="B130" s="74" t="s">
        <v>42</v>
      </c>
      <c r="C130" s="74"/>
      <c r="D130" s="8"/>
      <c r="E130" s="8"/>
      <c r="F130" s="8"/>
      <c r="G130" s="8"/>
      <c r="H130" s="8"/>
      <c r="I130" s="8"/>
      <c r="J130" s="8"/>
      <c r="K130" s="8"/>
      <c r="L130" s="86"/>
      <c r="M130" s="86"/>
      <c r="N130" s="86"/>
      <c r="O130" s="86"/>
      <c r="P130" s="86"/>
    </row>
    <row r="131" spans="1:16" ht="15" customHeight="1">
      <c r="A131" s="72"/>
      <c r="B131" s="68" t="s">
        <v>43</v>
      </c>
      <c r="C131" s="69"/>
      <c r="D131" s="8"/>
      <c r="E131" s="8"/>
      <c r="F131" s="8"/>
      <c r="G131" s="8"/>
      <c r="H131" s="8"/>
      <c r="I131" s="8"/>
      <c r="J131" s="8"/>
      <c r="K131" s="8"/>
      <c r="L131" s="86"/>
      <c r="M131" s="86"/>
      <c r="N131" s="86"/>
      <c r="O131" s="86"/>
      <c r="P131" s="86"/>
    </row>
    <row r="132" spans="1:16" ht="15">
      <c r="A132" s="72"/>
      <c r="B132" s="70" t="s">
        <v>18</v>
      </c>
      <c r="C132" s="70"/>
      <c r="D132" s="9"/>
      <c r="E132" s="9"/>
      <c r="F132" s="9"/>
      <c r="G132" s="9"/>
      <c r="H132" s="9"/>
      <c r="I132" s="9"/>
      <c r="J132" s="9"/>
      <c r="K132" s="9"/>
      <c r="L132" s="86"/>
      <c r="M132" s="86"/>
      <c r="N132" s="86"/>
      <c r="O132" s="86"/>
      <c r="P132" s="86"/>
    </row>
    <row r="134" spans="1:16" ht="15">
      <c r="B134" s="71" t="s">
        <v>44</v>
      </c>
      <c r="C134" s="71"/>
      <c r="D134" s="1">
        <f>SUM(D100:D131)</f>
        <v>0</v>
      </c>
      <c r="E134" s="1">
        <f t="shared" ref="E134:K134" si="6">SUM(E100:E131)</f>
        <v>0</v>
      </c>
      <c r="F134" s="1">
        <f t="shared" si="6"/>
        <v>0</v>
      </c>
      <c r="G134" s="1">
        <f t="shared" si="6"/>
        <v>0</v>
      </c>
      <c r="H134" s="1">
        <f t="shared" si="6"/>
        <v>0</v>
      </c>
      <c r="I134" s="1">
        <f t="shared" si="6"/>
        <v>0</v>
      </c>
      <c r="J134" s="1">
        <f t="shared" si="6"/>
        <v>0</v>
      </c>
      <c r="K134" s="1">
        <f t="shared" si="6"/>
        <v>0</v>
      </c>
      <c r="M134" s="17" t="s">
        <v>2</v>
      </c>
      <c r="N134" s="17" t="s">
        <v>3</v>
      </c>
    </row>
    <row r="135" spans="1:16" ht="15">
      <c r="C135" s="64"/>
      <c r="D135" s="1">
        <f>COUNT(D100:D132)*5</f>
        <v>0</v>
      </c>
      <c r="E135" s="1">
        <f t="shared" ref="E135:K135" si="7">COUNT(E100:E132)*5</f>
        <v>0</v>
      </c>
      <c r="F135" s="1">
        <f t="shared" si="7"/>
        <v>0</v>
      </c>
      <c r="G135" s="1">
        <f t="shared" si="7"/>
        <v>0</v>
      </c>
      <c r="H135" s="1">
        <f t="shared" si="7"/>
        <v>0</v>
      </c>
      <c r="I135" s="1">
        <f t="shared" si="7"/>
        <v>0</v>
      </c>
      <c r="J135" s="1">
        <f t="shared" si="7"/>
        <v>0</v>
      </c>
      <c r="K135" s="1">
        <f t="shared" si="7"/>
        <v>0</v>
      </c>
      <c r="M135" s="18" t="e">
        <f>(D136+F136+H136+J136)/4</f>
        <v>#DIV/0!</v>
      </c>
      <c r="N135" s="18" t="e">
        <f>(E136+G136+I136+K136)/4</f>
        <v>#DIV/0!</v>
      </c>
    </row>
    <row r="136" spans="1:16" ht="15">
      <c r="C136" s="2" t="s">
        <v>45</v>
      </c>
      <c r="D136" s="11" t="e">
        <f>D134/D135</f>
        <v>#DIV/0!</v>
      </c>
      <c r="E136" s="11" t="e">
        <f t="shared" ref="E136:K136" si="8">E134/E135</f>
        <v>#DIV/0!</v>
      </c>
      <c r="F136" s="11" t="e">
        <f t="shared" si="8"/>
        <v>#DIV/0!</v>
      </c>
      <c r="G136" s="11" t="e">
        <f t="shared" si="8"/>
        <v>#DIV/0!</v>
      </c>
      <c r="H136" s="11" t="e">
        <f t="shared" si="8"/>
        <v>#DIV/0!</v>
      </c>
      <c r="I136" s="11" t="e">
        <f t="shared" si="8"/>
        <v>#DIV/0!</v>
      </c>
      <c r="J136" s="11" t="e">
        <f t="shared" si="8"/>
        <v>#DIV/0!</v>
      </c>
      <c r="K136" s="11" t="e">
        <f t="shared" si="8"/>
        <v>#DIV/0!</v>
      </c>
      <c r="L136" s="4"/>
      <c r="M136" s="4"/>
      <c r="N136" s="4"/>
      <c r="O136" s="4"/>
      <c r="P136" s="4"/>
    </row>
    <row r="137" spans="1:16" s="22" customFormat="1"/>
    <row r="138" spans="1:16" ht="18">
      <c r="B138" s="16" t="s">
        <v>48</v>
      </c>
      <c r="C138" s="23" t="s">
        <v>6</v>
      </c>
      <c r="D138" s="75" t="s">
        <v>7</v>
      </c>
      <c r="E138" s="76"/>
      <c r="F138" s="75" t="s">
        <v>8</v>
      </c>
      <c r="G138" s="76"/>
      <c r="H138" s="75" t="s">
        <v>9</v>
      </c>
      <c r="I138" s="76"/>
      <c r="J138" s="75" t="s">
        <v>10</v>
      </c>
      <c r="K138" s="76"/>
    </row>
    <row r="139" spans="1:16" s="1" customFormat="1" ht="15">
      <c r="A139" s="77" t="s">
        <v>11</v>
      </c>
      <c r="B139" s="77" t="s">
        <v>12</v>
      </c>
      <c r="C139" s="6" t="s">
        <v>13</v>
      </c>
      <c r="D139" s="29"/>
      <c r="E139" s="29"/>
      <c r="F139" s="29"/>
      <c r="G139" s="29"/>
      <c r="H139" s="29"/>
      <c r="I139" s="29"/>
      <c r="J139" s="29"/>
      <c r="K139" s="29"/>
      <c r="L139" s="80" t="s">
        <v>14</v>
      </c>
      <c r="M139" s="81"/>
      <c r="N139" s="81"/>
      <c r="O139" s="81"/>
      <c r="P139" s="81"/>
    </row>
    <row r="140" spans="1:16" s="1" customFormat="1" ht="15">
      <c r="A140" s="78"/>
      <c r="B140" s="78"/>
      <c r="C140" s="6"/>
      <c r="D140" s="7" t="s">
        <v>2</v>
      </c>
      <c r="E140" s="7" t="s">
        <v>15</v>
      </c>
      <c r="F140" s="7" t="s">
        <v>2</v>
      </c>
      <c r="G140" s="7" t="s">
        <v>15</v>
      </c>
      <c r="H140" s="7" t="s">
        <v>2</v>
      </c>
      <c r="I140" s="7" t="s">
        <v>15</v>
      </c>
      <c r="J140" s="7" t="s">
        <v>2</v>
      </c>
      <c r="K140" s="7" t="s">
        <v>15</v>
      </c>
      <c r="L140" s="80"/>
      <c r="M140" s="81"/>
      <c r="N140" s="81"/>
      <c r="O140" s="81"/>
      <c r="P140" s="81"/>
    </row>
    <row r="141" spans="1:16" s="1" customFormat="1" ht="15">
      <c r="A141" s="79"/>
      <c r="B141" s="79"/>
      <c r="C141" s="6" t="s">
        <v>16</v>
      </c>
      <c r="D141" s="6"/>
      <c r="E141" s="6"/>
      <c r="F141" s="6"/>
      <c r="G141" s="6"/>
      <c r="H141" s="6"/>
      <c r="I141" s="6"/>
      <c r="J141" s="6"/>
      <c r="K141" s="6"/>
      <c r="L141" s="80"/>
      <c r="M141" s="81"/>
      <c r="N141" s="81"/>
      <c r="O141" s="81"/>
      <c r="P141" s="81"/>
    </row>
    <row r="142" spans="1:16" ht="15">
      <c r="A142" s="82">
        <v>1</v>
      </c>
      <c r="B142" s="84" t="s">
        <v>17</v>
      </c>
      <c r="C142" s="85"/>
      <c r="D142" s="8"/>
      <c r="E142" s="8"/>
      <c r="F142" s="8"/>
      <c r="G142" s="8"/>
      <c r="H142" s="8"/>
      <c r="I142" s="8"/>
      <c r="J142" s="8"/>
      <c r="K142" s="8"/>
      <c r="L142" s="86"/>
      <c r="M142" s="86"/>
      <c r="N142" s="86"/>
      <c r="O142" s="86"/>
      <c r="P142" s="86"/>
    </row>
    <row r="143" spans="1:16" ht="15">
      <c r="A143" s="83"/>
      <c r="B143" s="87" t="s">
        <v>18</v>
      </c>
      <c r="C143" s="88"/>
      <c r="D143" s="9"/>
      <c r="E143" s="9"/>
      <c r="F143" s="9"/>
      <c r="G143" s="9"/>
      <c r="H143" s="9"/>
      <c r="I143" s="9"/>
      <c r="J143" s="9"/>
      <c r="K143" s="9"/>
      <c r="L143" s="86"/>
      <c r="M143" s="86"/>
      <c r="N143" s="86"/>
      <c r="O143" s="86"/>
      <c r="P143" s="86"/>
    </row>
    <row r="144" spans="1:16" ht="15">
      <c r="A144" s="72">
        <v>2</v>
      </c>
      <c r="B144" s="73" t="s">
        <v>19</v>
      </c>
      <c r="C144" s="73"/>
      <c r="D144" s="8"/>
      <c r="E144" s="8"/>
      <c r="F144" s="8"/>
      <c r="G144" s="8"/>
      <c r="H144" s="8"/>
      <c r="I144" s="8"/>
      <c r="J144" s="8"/>
      <c r="K144" s="8"/>
      <c r="L144" s="86"/>
      <c r="M144" s="86"/>
      <c r="N144" s="86"/>
      <c r="O144" s="86"/>
      <c r="P144" s="86"/>
    </row>
    <row r="145" spans="1:16" ht="15">
      <c r="A145" s="72"/>
      <c r="B145" s="70" t="s">
        <v>18</v>
      </c>
      <c r="C145" s="70"/>
      <c r="D145" s="9"/>
      <c r="E145" s="9"/>
      <c r="F145" s="9"/>
      <c r="G145" s="9"/>
      <c r="H145" s="9"/>
      <c r="I145" s="9"/>
      <c r="J145" s="9"/>
      <c r="K145" s="9"/>
      <c r="L145" s="86"/>
      <c r="M145" s="86"/>
      <c r="N145" s="86"/>
      <c r="O145" s="86"/>
      <c r="P145" s="86"/>
    </row>
    <row r="146" spans="1:16" ht="15">
      <c r="A146" s="72">
        <v>3</v>
      </c>
      <c r="B146" s="73" t="s">
        <v>20</v>
      </c>
      <c r="C146" s="73"/>
      <c r="D146" s="10"/>
      <c r="E146" s="10"/>
      <c r="F146" s="10"/>
      <c r="G146" s="10"/>
      <c r="H146" s="10"/>
      <c r="I146" s="10"/>
      <c r="J146" s="10"/>
      <c r="K146" s="10"/>
      <c r="L146" s="86"/>
      <c r="M146" s="86"/>
      <c r="N146" s="86"/>
      <c r="O146" s="86"/>
      <c r="P146" s="86"/>
    </row>
    <row r="147" spans="1:16" ht="15" customHeight="1">
      <c r="A147" s="72"/>
      <c r="B147" s="74" t="s">
        <v>21</v>
      </c>
      <c r="C147" s="74"/>
      <c r="D147" s="8"/>
      <c r="E147" s="8"/>
      <c r="F147" s="8"/>
      <c r="G147" s="8"/>
      <c r="H147" s="8"/>
      <c r="I147" s="8"/>
      <c r="J147" s="8"/>
      <c r="K147" s="8"/>
      <c r="L147" s="86"/>
      <c r="M147" s="86"/>
      <c r="N147" s="86"/>
      <c r="O147" s="86"/>
      <c r="P147" s="86"/>
    </row>
    <row r="148" spans="1:16" ht="15" customHeight="1">
      <c r="A148" s="72"/>
      <c r="B148" s="74" t="s">
        <v>22</v>
      </c>
      <c r="C148" s="74"/>
      <c r="D148" s="8"/>
      <c r="E148" s="8"/>
      <c r="F148" s="8"/>
      <c r="G148" s="8"/>
      <c r="H148" s="8"/>
      <c r="I148" s="8"/>
      <c r="J148" s="8"/>
      <c r="K148" s="8"/>
      <c r="L148" s="86"/>
      <c r="M148" s="86"/>
      <c r="N148" s="86"/>
      <c r="O148" s="86"/>
      <c r="P148" s="86"/>
    </row>
    <row r="149" spans="1:16" ht="15" customHeight="1">
      <c r="A149" s="72"/>
      <c r="B149" s="74" t="s">
        <v>23</v>
      </c>
      <c r="C149" s="74"/>
      <c r="D149" s="8"/>
      <c r="E149" s="8"/>
      <c r="F149" s="8"/>
      <c r="G149" s="8"/>
      <c r="H149" s="8"/>
      <c r="I149" s="8"/>
      <c r="J149" s="8"/>
      <c r="K149" s="8"/>
      <c r="L149" s="86"/>
      <c r="M149" s="86"/>
      <c r="N149" s="86"/>
      <c r="O149" s="86"/>
      <c r="P149" s="86"/>
    </row>
    <row r="150" spans="1:16" ht="15">
      <c r="A150" s="72"/>
      <c r="B150" s="70" t="s">
        <v>18</v>
      </c>
      <c r="C150" s="70"/>
      <c r="D150" s="9"/>
      <c r="E150" s="9"/>
      <c r="F150" s="9"/>
      <c r="G150" s="9"/>
      <c r="H150" s="9"/>
      <c r="I150" s="9"/>
      <c r="J150" s="9"/>
      <c r="K150" s="9"/>
      <c r="L150" s="86"/>
      <c r="M150" s="86"/>
      <c r="N150" s="86"/>
      <c r="O150" s="86"/>
      <c r="P150" s="86"/>
    </row>
    <row r="151" spans="1:16" ht="15">
      <c r="A151" s="72">
        <v>4</v>
      </c>
      <c r="B151" s="73" t="s">
        <v>24</v>
      </c>
      <c r="C151" s="73"/>
      <c r="D151" s="10"/>
      <c r="E151" s="10"/>
      <c r="F151" s="10"/>
      <c r="G151" s="10"/>
      <c r="H151" s="10"/>
      <c r="I151" s="10"/>
      <c r="J151" s="10"/>
      <c r="K151" s="10"/>
      <c r="L151" s="86"/>
      <c r="M151" s="86"/>
      <c r="N151" s="86"/>
      <c r="O151" s="86"/>
      <c r="P151" s="86"/>
    </row>
    <row r="152" spans="1:16" ht="15" customHeight="1">
      <c r="A152" s="72"/>
      <c r="B152" s="74" t="s">
        <v>25</v>
      </c>
      <c r="C152" s="74"/>
      <c r="D152" s="8"/>
      <c r="E152" s="8"/>
      <c r="F152" s="8"/>
      <c r="G152" s="8"/>
      <c r="H152" s="8"/>
      <c r="I152" s="8"/>
      <c r="J152" s="8"/>
      <c r="K152" s="8"/>
      <c r="L152" s="86"/>
      <c r="M152" s="86"/>
      <c r="N152" s="86"/>
      <c r="O152" s="86"/>
      <c r="P152" s="86"/>
    </row>
    <row r="153" spans="1:16" ht="15" customHeight="1">
      <c r="A153" s="72"/>
      <c r="B153" s="74" t="s">
        <v>26</v>
      </c>
      <c r="C153" s="74"/>
      <c r="D153" s="8"/>
      <c r="E153" s="8"/>
      <c r="F153" s="8"/>
      <c r="G153" s="8"/>
      <c r="H153" s="8"/>
      <c r="I153" s="8"/>
      <c r="J153" s="8"/>
      <c r="K153" s="8"/>
      <c r="L153" s="86"/>
      <c r="M153" s="86"/>
      <c r="N153" s="86"/>
      <c r="O153" s="86"/>
      <c r="P153" s="86"/>
    </row>
    <row r="154" spans="1:16" ht="15">
      <c r="A154" s="72"/>
      <c r="B154" s="70" t="s">
        <v>18</v>
      </c>
      <c r="C154" s="70"/>
      <c r="D154" s="9"/>
      <c r="E154" s="9"/>
      <c r="F154" s="9"/>
      <c r="G154" s="9"/>
      <c r="H154" s="9"/>
      <c r="I154" s="9"/>
      <c r="J154" s="9"/>
      <c r="K154" s="9"/>
      <c r="L154" s="86"/>
      <c r="M154" s="86"/>
      <c r="N154" s="86"/>
      <c r="O154" s="86"/>
      <c r="P154" s="86"/>
    </row>
    <row r="155" spans="1:16" ht="15">
      <c r="A155" s="72">
        <v>5</v>
      </c>
      <c r="B155" s="73" t="s">
        <v>27</v>
      </c>
      <c r="C155" s="73"/>
      <c r="D155" s="8"/>
      <c r="E155" s="8"/>
      <c r="F155" s="8"/>
      <c r="G155" s="8"/>
      <c r="H155" s="8"/>
      <c r="I155" s="8"/>
      <c r="J155" s="8"/>
      <c r="K155" s="8"/>
      <c r="L155" s="86"/>
      <c r="M155" s="86"/>
      <c r="N155" s="86"/>
      <c r="O155" s="86"/>
      <c r="P155" s="86"/>
    </row>
    <row r="156" spans="1:16" ht="15">
      <c r="A156" s="72"/>
      <c r="B156" s="70" t="s">
        <v>18</v>
      </c>
      <c r="C156" s="70"/>
      <c r="D156" s="9"/>
      <c r="E156" s="9"/>
      <c r="F156" s="9"/>
      <c r="G156" s="9"/>
      <c r="H156" s="9"/>
      <c r="I156" s="9"/>
      <c r="J156" s="9"/>
      <c r="K156" s="9"/>
      <c r="L156" s="86"/>
      <c r="M156" s="86"/>
      <c r="N156" s="86"/>
      <c r="O156" s="86"/>
      <c r="P156" s="86"/>
    </row>
    <row r="157" spans="1:16" ht="15">
      <c r="A157" s="72">
        <v>6</v>
      </c>
      <c r="B157" s="73" t="s">
        <v>28</v>
      </c>
      <c r="C157" s="73"/>
      <c r="D157" s="10"/>
      <c r="E157" s="10"/>
      <c r="F157" s="10"/>
      <c r="G157" s="10"/>
      <c r="H157" s="10"/>
      <c r="I157" s="10"/>
      <c r="J157" s="10"/>
      <c r="K157" s="10"/>
      <c r="L157" s="86"/>
      <c r="M157" s="86"/>
      <c r="N157" s="86"/>
      <c r="O157" s="86"/>
      <c r="P157" s="86"/>
    </row>
    <row r="158" spans="1:16" ht="15" customHeight="1">
      <c r="A158" s="72"/>
      <c r="B158" s="74" t="s">
        <v>29</v>
      </c>
      <c r="C158" s="74"/>
      <c r="D158" s="8"/>
      <c r="E158" s="8"/>
      <c r="F158" s="8"/>
      <c r="G158" s="8"/>
      <c r="H158" s="8"/>
      <c r="I158" s="8"/>
      <c r="J158" s="8"/>
      <c r="K158" s="8"/>
      <c r="L158" s="86"/>
      <c r="M158" s="86"/>
      <c r="N158" s="86"/>
      <c r="O158" s="86"/>
      <c r="P158" s="86"/>
    </row>
    <row r="159" spans="1:16" ht="15" customHeight="1">
      <c r="A159" s="72"/>
      <c r="B159" s="74" t="s">
        <v>30</v>
      </c>
      <c r="C159" s="74"/>
      <c r="D159" s="8"/>
      <c r="E159" s="8"/>
      <c r="F159" s="8"/>
      <c r="G159" s="8"/>
      <c r="H159" s="8"/>
      <c r="I159" s="8"/>
      <c r="J159" s="8"/>
      <c r="K159" s="8"/>
      <c r="L159" s="86"/>
      <c r="M159" s="86"/>
      <c r="N159" s="86"/>
      <c r="O159" s="86"/>
      <c r="P159" s="86"/>
    </row>
    <row r="160" spans="1:16" ht="15" customHeight="1">
      <c r="A160" s="72"/>
      <c r="B160" s="74" t="s">
        <v>31</v>
      </c>
      <c r="C160" s="74"/>
      <c r="D160" s="8"/>
      <c r="E160" s="8"/>
      <c r="F160" s="8"/>
      <c r="G160" s="8"/>
      <c r="H160" s="8"/>
      <c r="I160" s="8"/>
      <c r="J160" s="8"/>
      <c r="K160" s="8"/>
      <c r="L160" s="86"/>
      <c r="M160" s="86"/>
      <c r="N160" s="86"/>
      <c r="O160" s="86"/>
      <c r="P160" s="86"/>
    </row>
    <row r="161" spans="1:16" ht="15" customHeight="1">
      <c r="A161" s="72"/>
      <c r="B161" s="74" t="s">
        <v>32</v>
      </c>
      <c r="C161" s="74"/>
      <c r="D161" s="8"/>
      <c r="E161" s="8"/>
      <c r="F161" s="8"/>
      <c r="G161" s="8"/>
      <c r="H161" s="8"/>
      <c r="I161" s="8"/>
      <c r="J161" s="8"/>
      <c r="K161" s="8"/>
      <c r="L161" s="86"/>
      <c r="M161" s="86"/>
      <c r="N161" s="86"/>
      <c r="O161" s="86"/>
      <c r="P161" s="86"/>
    </row>
    <row r="162" spans="1:16" ht="15" customHeight="1">
      <c r="A162" s="72"/>
      <c r="B162" s="74" t="s">
        <v>33</v>
      </c>
      <c r="C162" s="74"/>
      <c r="D162" s="8"/>
      <c r="E162" s="8"/>
      <c r="F162" s="8"/>
      <c r="G162" s="8"/>
      <c r="H162" s="8"/>
      <c r="I162" s="8"/>
      <c r="J162" s="8"/>
      <c r="K162" s="8"/>
      <c r="L162" s="86"/>
      <c r="M162" s="86"/>
      <c r="N162" s="86"/>
      <c r="O162" s="86"/>
      <c r="P162" s="86"/>
    </row>
    <row r="163" spans="1:16" ht="15">
      <c r="A163" s="72"/>
      <c r="B163" s="70" t="s">
        <v>18</v>
      </c>
      <c r="C163" s="70"/>
      <c r="D163" s="9"/>
      <c r="E163" s="9"/>
      <c r="F163" s="9"/>
      <c r="G163" s="9"/>
      <c r="H163" s="9"/>
      <c r="I163" s="9"/>
      <c r="J163" s="9"/>
      <c r="K163" s="9"/>
      <c r="L163" s="86"/>
      <c r="M163" s="86"/>
      <c r="N163" s="86"/>
      <c r="O163" s="86"/>
      <c r="P163" s="86"/>
    </row>
    <row r="164" spans="1:16" ht="15">
      <c r="A164" s="72">
        <v>7</v>
      </c>
      <c r="B164" s="73" t="s">
        <v>34</v>
      </c>
      <c r="C164" s="73"/>
      <c r="D164" s="10"/>
      <c r="E164" s="10"/>
      <c r="F164" s="10"/>
      <c r="G164" s="10"/>
      <c r="H164" s="10"/>
      <c r="I164" s="10"/>
      <c r="J164" s="10"/>
      <c r="K164" s="10"/>
      <c r="L164" s="86"/>
      <c r="M164" s="86"/>
      <c r="N164" s="86"/>
      <c r="O164" s="86"/>
      <c r="P164" s="86"/>
    </row>
    <row r="165" spans="1:16" ht="15" customHeight="1">
      <c r="A165" s="72"/>
      <c r="B165" s="74" t="s">
        <v>35</v>
      </c>
      <c r="C165" s="74"/>
      <c r="D165" s="8"/>
      <c r="E165" s="8"/>
      <c r="F165" s="8"/>
      <c r="G165" s="8"/>
      <c r="H165" s="8"/>
      <c r="I165" s="8"/>
      <c r="J165" s="8"/>
      <c r="K165" s="8"/>
      <c r="L165" s="86"/>
      <c r="M165" s="86"/>
      <c r="N165" s="86"/>
      <c r="O165" s="86"/>
      <c r="P165" s="86"/>
    </row>
    <row r="166" spans="1:16" ht="15" customHeight="1">
      <c r="A166" s="72"/>
      <c r="B166" s="74" t="s">
        <v>36</v>
      </c>
      <c r="C166" s="74"/>
      <c r="D166" s="8"/>
      <c r="E166" s="8"/>
      <c r="F166" s="8"/>
      <c r="G166" s="8"/>
      <c r="H166" s="8"/>
      <c r="I166" s="8"/>
      <c r="J166" s="8"/>
      <c r="K166" s="8"/>
      <c r="L166" s="86"/>
      <c r="M166" s="86"/>
      <c r="N166" s="86"/>
      <c r="O166" s="86"/>
      <c r="P166" s="86"/>
    </row>
    <row r="167" spans="1:16" ht="15" customHeight="1">
      <c r="A167" s="72"/>
      <c r="B167" s="74" t="s">
        <v>37</v>
      </c>
      <c r="C167" s="74"/>
      <c r="D167" s="8"/>
      <c r="E167" s="8"/>
      <c r="F167" s="8"/>
      <c r="G167" s="8"/>
      <c r="H167" s="8"/>
      <c r="I167" s="8"/>
      <c r="J167" s="8"/>
      <c r="K167" s="8"/>
      <c r="L167" s="86"/>
      <c r="M167" s="86"/>
      <c r="N167" s="86"/>
      <c r="O167" s="86"/>
      <c r="P167" s="86"/>
    </row>
    <row r="168" spans="1:16" ht="15" customHeight="1">
      <c r="A168" s="72"/>
      <c r="B168" s="74" t="s">
        <v>38</v>
      </c>
      <c r="C168" s="74"/>
      <c r="D168" s="8"/>
      <c r="E168" s="8"/>
      <c r="F168" s="8"/>
      <c r="G168" s="8"/>
      <c r="H168" s="8"/>
      <c r="I168" s="8"/>
      <c r="J168" s="8"/>
      <c r="K168" s="8"/>
      <c r="L168" s="86"/>
      <c r="M168" s="86"/>
      <c r="N168" s="86"/>
      <c r="O168" s="86"/>
      <c r="P168" s="86"/>
    </row>
    <row r="169" spans="1:16" ht="15" customHeight="1">
      <c r="A169" s="72"/>
      <c r="B169" s="74" t="s">
        <v>39</v>
      </c>
      <c r="C169" s="74"/>
      <c r="D169" s="8"/>
      <c r="E169" s="8"/>
      <c r="F169" s="8"/>
      <c r="G169" s="8"/>
      <c r="H169" s="8"/>
      <c r="I169" s="8"/>
      <c r="J169" s="8"/>
      <c r="K169" s="8"/>
      <c r="L169" s="86"/>
      <c r="M169" s="86"/>
      <c r="N169" s="86"/>
      <c r="O169" s="86"/>
      <c r="P169" s="86"/>
    </row>
    <row r="170" spans="1:16" ht="15" customHeight="1">
      <c r="A170" s="72"/>
      <c r="B170" s="74" t="s">
        <v>40</v>
      </c>
      <c r="C170" s="74"/>
      <c r="D170" s="8"/>
      <c r="E170" s="8"/>
      <c r="F170" s="8"/>
      <c r="G170" s="8"/>
      <c r="H170" s="8"/>
      <c r="I170" s="8"/>
      <c r="J170" s="8"/>
      <c r="K170" s="8"/>
      <c r="L170" s="86"/>
      <c r="M170" s="86"/>
      <c r="N170" s="86"/>
      <c r="O170" s="86"/>
      <c r="P170" s="86"/>
    </row>
    <row r="171" spans="1:16" ht="15" customHeight="1">
      <c r="A171" s="72"/>
      <c r="B171" s="74" t="s">
        <v>41</v>
      </c>
      <c r="C171" s="74"/>
      <c r="D171" s="8"/>
      <c r="E171" s="8"/>
      <c r="F171" s="8"/>
      <c r="G171" s="8"/>
      <c r="H171" s="8"/>
      <c r="I171" s="8"/>
      <c r="J171" s="8"/>
      <c r="K171" s="8"/>
      <c r="L171" s="86"/>
      <c r="M171" s="86"/>
      <c r="N171" s="86"/>
      <c r="O171" s="86"/>
      <c r="P171" s="86"/>
    </row>
    <row r="172" spans="1:16" ht="15" customHeight="1">
      <c r="A172" s="72"/>
      <c r="B172" s="74" t="s">
        <v>42</v>
      </c>
      <c r="C172" s="74"/>
      <c r="D172" s="8"/>
      <c r="E172" s="8"/>
      <c r="F172" s="8"/>
      <c r="G172" s="8"/>
      <c r="H172" s="8"/>
      <c r="I172" s="8"/>
      <c r="J172" s="8"/>
      <c r="K172" s="8"/>
      <c r="L172" s="86"/>
      <c r="M172" s="86"/>
      <c r="N172" s="86"/>
      <c r="O172" s="86"/>
      <c r="P172" s="86"/>
    </row>
    <row r="173" spans="1:16" ht="15" customHeight="1">
      <c r="A173" s="72"/>
      <c r="B173" s="68" t="s">
        <v>43</v>
      </c>
      <c r="C173" s="69"/>
      <c r="D173" s="8"/>
      <c r="E173" s="8"/>
      <c r="F173" s="8"/>
      <c r="G173" s="8"/>
      <c r="H173" s="8"/>
      <c r="I173" s="8"/>
      <c r="J173" s="8"/>
      <c r="K173" s="8"/>
      <c r="L173" s="86"/>
      <c r="M173" s="86"/>
      <c r="N173" s="86"/>
      <c r="O173" s="86"/>
      <c r="P173" s="86"/>
    </row>
    <row r="174" spans="1:16" ht="15">
      <c r="A174" s="72"/>
      <c r="B174" s="70" t="s">
        <v>18</v>
      </c>
      <c r="C174" s="70"/>
      <c r="D174" s="9"/>
      <c r="E174" s="9"/>
      <c r="F174" s="9"/>
      <c r="G174" s="9"/>
      <c r="H174" s="9"/>
      <c r="I174" s="9"/>
      <c r="J174" s="9"/>
      <c r="K174" s="9"/>
      <c r="L174" s="86"/>
      <c r="M174" s="86"/>
      <c r="N174" s="86"/>
      <c r="O174" s="86"/>
      <c r="P174" s="86"/>
    </row>
    <row r="176" spans="1:16" ht="15">
      <c r="B176" s="71" t="s">
        <v>44</v>
      </c>
      <c r="C176" s="71"/>
      <c r="D176" s="1">
        <f>SUM(D142:D173)</f>
        <v>0</v>
      </c>
      <c r="E176" s="1">
        <f t="shared" ref="E176:K176" si="9">SUM(E142:E173)</f>
        <v>0</v>
      </c>
      <c r="F176" s="1">
        <f t="shared" si="9"/>
        <v>0</v>
      </c>
      <c r="G176" s="1">
        <f t="shared" si="9"/>
        <v>0</v>
      </c>
      <c r="H176" s="1">
        <f t="shared" si="9"/>
        <v>0</v>
      </c>
      <c r="I176" s="1">
        <f t="shared" si="9"/>
        <v>0</v>
      </c>
      <c r="J176" s="1">
        <f t="shared" si="9"/>
        <v>0</v>
      </c>
      <c r="K176" s="1">
        <f t="shared" si="9"/>
        <v>0</v>
      </c>
      <c r="M176" s="17" t="s">
        <v>2</v>
      </c>
      <c r="N176" s="17" t="s">
        <v>3</v>
      </c>
    </row>
    <row r="177" spans="1:16" ht="15">
      <c r="C177" s="64"/>
      <c r="D177" s="1">
        <f>COUNT(D142:D174)*5</f>
        <v>0</v>
      </c>
      <c r="E177" s="1">
        <f t="shared" ref="E177:K177" si="10">COUNT(E142:E174)*5</f>
        <v>0</v>
      </c>
      <c r="F177" s="1">
        <f t="shared" si="10"/>
        <v>0</v>
      </c>
      <c r="G177" s="1">
        <f t="shared" si="10"/>
        <v>0</v>
      </c>
      <c r="H177" s="1">
        <f t="shared" si="10"/>
        <v>0</v>
      </c>
      <c r="I177" s="1">
        <f t="shared" si="10"/>
        <v>0</v>
      </c>
      <c r="J177" s="1">
        <f t="shared" si="10"/>
        <v>0</v>
      </c>
      <c r="K177" s="1">
        <f t="shared" si="10"/>
        <v>0</v>
      </c>
      <c r="M177" s="18" t="e">
        <f>(D178+F178+H178+J178)/4</f>
        <v>#DIV/0!</v>
      </c>
      <c r="N177" s="18" t="e">
        <f>(E178+G178+I178+K178)/4</f>
        <v>#DIV/0!</v>
      </c>
    </row>
    <row r="178" spans="1:16" ht="15">
      <c r="C178" s="2" t="s">
        <v>45</v>
      </c>
      <c r="D178" s="11" t="e">
        <f>D176/D177</f>
        <v>#DIV/0!</v>
      </c>
      <c r="E178" s="11" t="e">
        <f t="shared" ref="E178:K178" si="11">E176/E177</f>
        <v>#DIV/0!</v>
      </c>
      <c r="F178" s="11" t="e">
        <f t="shared" si="11"/>
        <v>#DIV/0!</v>
      </c>
      <c r="G178" s="11" t="e">
        <f t="shared" si="11"/>
        <v>#DIV/0!</v>
      </c>
      <c r="H178" s="11" t="e">
        <f t="shared" si="11"/>
        <v>#DIV/0!</v>
      </c>
      <c r="I178" s="11" t="e">
        <f t="shared" si="11"/>
        <v>#DIV/0!</v>
      </c>
      <c r="J178" s="11" t="e">
        <f t="shared" si="11"/>
        <v>#DIV/0!</v>
      </c>
      <c r="K178" s="11" t="e">
        <f t="shared" si="11"/>
        <v>#DIV/0!</v>
      </c>
      <c r="L178" s="4"/>
      <c r="M178" s="4"/>
      <c r="N178" s="4"/>
      <c r="O178" s="4"/>
      <c r="P178" s="4"/>
    </row>
    <row r="179" spans="1:16" s="22" customFormat="1"/>
    <row r="180" spans="1:16" ht="18">
      <c r="B180" s="16" t="s">
        <v>49</v>
      </c>
      <c r="C180" s="23" t="s">
        <v>6</v>
      </c>
      <c r="D180" s="75" t="s">
        <v>7</v>
      </c>
      <c r="E180" s="76"/>
      <c r="F180" s="75" t="s">
        <v>8</v>
      </c>
      <c r="G180" s="76"/>
      <c r="H180" s="75" t="s">
        <v>9</v>
      </c>
      <c r="I180" s="76"/>
      <c r="J180" s="75" t="s">
        <v>10</v>
      </c>
      <c r="K180" s="76"/>
    </row>
    <row r="181" spans="1:16" s="1" customFormat="1" ht="15">
      <c r="A181" s="77" t="s">
        <v>11</v>
      </c>
      <c r="B181" s="77" t="s">
        <v>12</v>
      </c>
      <c r="C181" s="6" t="s">
        <v>13</v>
      </c>
      <c r="D181" s="29"/>
      <c r="E181" s="29"/>
      <c r="F181" s="29"/>
      <c r="G181" s="29"/>
      <c r="H181" s="29"/>
      <c r="I181" s="29"/>
      <c r="J181" s="29"/>
      <c r="K181" s="29"/>
      <c r="L181" s="80" t="s">
        <v>14</v>
      </c>
      <c r="M181" s="81"/>
      <c r="N181" s="81"/>
      <c r="O181" s="81"/>
      <c r="P181" s="81"/>
    </row>
    <row r="182" spans="1:16" s="1" customFormat="1" ht="15">
      <c r="A182" s="78"/>
      <c r="B182" s="78"/>
      <c r="C182" s="6"/>
      <c r="D182" s="7" t="s">
        <v>2</v>
      </c>
      <c r="E182" s="7" t="s">
        <v>15</v>
      </c>
      <c r="F182" s="7" t="s">
        <v>2</v>
      </c>
      <c r="G182" s="7" t="s">
        <v>15</v>
      </c>
      <c r="H182" s="7" t="s">
        <v>2</v>
      </c>
      <c r="I182" s="7" t="s">
        <v>15</v>
      </c>
      <c r="J182" s="7" t="s">
        <v>2</v>
      </c>
      <c r="K182" s="7" t="s">
        <v>15</v>
      </c>
      <c r="L182" s="80"/>
      <c r="M182" s="81"/>
      <c r="N182" s="81"/>
      <c r="O182" s="81"/>
      <c r="P182" s="81"/>
    </row>
    <row r="183" spans="1:16" s="1" customFormat="1" ht="15">
      <c r="A183" s="79"/>
      <c r="B183" s="79"/>
      <c r="C183" s="6" t="s">
        <v>16</v>
      </c>
      <c r="D183" s="6"/>
      <c r="E183" s="6"/>
      <c r="F183" s="6"/>
      <c r="G183" s="6"/>
      <c r="H183" s="6"/>
      <c r="I183" s="6"/>
      <c r="J183" s="6"/>
      <c r="K183" s="6"/>
      <c r="L183" s="80"/>
      <c r="M183" s="81"/>
      <c r="N183" s="81"/>
      <c r="O183" s="81"/>
      <c r="P183" s="81"/>
    </row>
    <row r="184" spans="1:16" ht="15">
      <c r="A184" s="82">
        <v>1</v>
      </c>
      <c r="B184" s="84" t="s">
        <v>17</v>
      </c>
      <c r="C184" s="85"/>
      <c r="D184" s="8"/>
      <c r="E184" s="8"/>
      <c r="F184" s="8"/>
      <c r="G184" s="8"/>
      <c r="H184" s="8"/>
      <c r="I184" s="8"/>
      <c r="J184" s="8"/>
      <c r="K184" s="8"/>
      <c r="L184" s="86"/>
      <c r="M184" s="86"/>
      <c r="N184" s="86"/>
      <c r="O184" s="86"/>
      <c r="P184" s="86"/>
    </row>
    <row r="185" spans="1:16" ht="15">
      <c r="A185" s="83"/>
      <c r="B185" s="87" t="s">
        <v>18</v>
      </c>
      <c r="C185" s="88"/>
      <c r="D185" s="9"/>
      <c r="E185" s="9"/>
      <c r="F185" s="9"/>
      <c r="G185" s="9"/>
      <c r="H185" s="9"/>
      <c r="I185" s="9"/>
      <c r="J185" s="9"/>
      <c r="K185" s="9"/>
      <c r="L185" s="86"/>
      <c r="M185" s="86"/>
      <c r="N185" s="86"/>
      <c r="O185" s="86"/>
      <c r="P185" s="86"/>
    </row>
    <row r="186" spans="1:16" ht="15">
      <c r="A186" s="72">
        <v>2</v>
      </c>
      <c r="B186" s="73" t="s">
        <v>19</v>
      </c>
      <c r="C186" s="73"/>
      <c r="D186" s="8"/>
      <c r="E186" s="8"/>
      <c r="F186" s="8"/>
      <c r="G186" s="8"/>
      <c r="H186" s="8"/>
      <c r="I186" s="8"/>
      <c r="J186" s="8"/>
      <c r="K186" s="8"/>
      <c r="L186" s="86"/>
      <c r="M186" s="86"/>
      <c r="N186" s="86"/>
      <c r="O186" s="86"/>
      <c r="P186" s="86"/>
    </row>
    <row r="187" spans="1:16" ht="15">
      <c r="A187" s="72"/>
      <c r="B187" s="70" t="s">
        <v>18</v>
      </c>
      <c r="C187" s="70"/>
      <c r="D187" s="9"/>
      <c r="E187" s="9"/>
      <c r="F187" s="9"/>
      <c r="G187" s="9"/>
      <c r="H187" s="9"/>
      <c r="I187" s="9"/>
      <c r="J187" s="9"/>
      <c r="K187" s="9"/>
      <c r="L187" s="86"/>
      <c r="M187" s="86"/>
      <c r="N187" s="86"/>
      <c r="O187" s="86"/>
      <c r="P187" s="86"/>
    </row>
    <row r="188" spans="1:16" ht="15">
      <c r="A188" s="72">
        <v>3</v>
      </c>
      <c r="B188" s="73" t="s">
        <v>20</v>
      </c>
      <c r="C188" s="73"/>
      <c r="D188" s="10"/>
      <c r="E188" s="10"/>
      <c r="F188" s="10"/>
      <c r="G188" s="10"/>
      <c r="H188" s="10"/>
      <c r="I188" s="10"/>
      <c r="J188" s="10"/>
      <c r="K188" s="10"/>
      <c r="L188" s="86"/>
      <c r="M188" s="86"/>
      <c r="N188" s="86"/>
      <c r="O188" s="86"/>
      <c r="P188" s="86"/>
    </row>
    <row r="189" spans="1:16" ht="15" customHeight="1">
      <c r="A189" s="72"/>
      <c r="B189" s="74" t="s">
        <v>21</v>
      </c>
      <c r="C189" s="74"/>
      <c r="D189" s="8"/>
      <c r="E189" s="8"/>
      <c r="F189" s="8"/>
      <c r="G189" s="8"/>
      <c r="H189" s="8"/>
      <c r="I189" s="8"/>
      <c r="J189" s="8"/>
      <c r="K189" s="8"/>
      <c r="L189" s="86"/>
      <c r="M189" s="86"/>
      <c r="N189" s="86"/>
      <c r="O189" s="86"/>
      <c r="P189" s="86"/>
    </row>
    <row r="190" spans="1:16" ht="15" customHeight="1">
      <c r="A190" s="72"/>
      <c r="B190" s="74" t="s">
        <v>22</v>
      </c>
      <c r="C190" s="74"/>
      <c r="D190" s="8"/>
      <c r="E190" s="8"/>
      <c r="F190" s="8"/>
      <c r="G190" s="8"/>
      <c r="H190" s="8"/>
      <c r="I190" s="8"/>
      <c r="J190" s="8"/>
      <c r="K190" s="8"/>
      <c r="L190" s="86"/>
      <c r="M190" s="86"/>
      <c r="N190" s="86"/>
      <c r="O190" s="86"/>
      <c r="P190" s="86"/>
    </row>
    <row r="191" spans="1:16" ht="15" customHeight="1">
      <c r="A191" s="72"/>
      <c r="B191" s="74" t="s">
        <v>23</v>
      </c>
      <c r="C191" s="74"/>
      <c r="D191" s="8"/>
      <c r="E191" s="8"/>
      <c r="F191" s="8"/>
      <c r="G191" s="8"/>
      <c r="H191" s="8"/>
      <c r="I191" s="8"/>
      <c r="J191" s="8"/>
      <c r="K191" s="8"/>
      <c r="L191" s="86"/>
      <c r="M191" s="86"/>
      <c r="N191" s="86"/>
      <c r="O191" s="86"/>
      <c r="P191" s="86"/>
    </row>
    <row r="192" spans="1:16" ht="15">
      <c r="A192" s="72"/>
      <c r="B192" s="70" t="s">
        <v>18</v>
      </c>
      <c r="C192" s="70"/>
      <c r="D192" s="9"/>
      <c r="E192" s="9"/>
      <c r="F192" s="9"/>
      <c r="G192" s="9"/>
      <c r="H192" s="9"/>
      <c r="I192" s="9"/>
      <c r="J192" s="9"/>
      <c r="K192" s="9"/>
      <c r="L192" s="86"/>
      <c r="M192" s="86"/>
      <c r="N192" s="86"/>
      <c r="O192" s="86"/>
      <c r="P192" s="86"/>
    </row>
    <row r="193" spans="1:16" ht="15">
      <c r="A193" s="72">
        <v>4</v>
      </c>
      <c r="B193" s="73" t="s">
        <v>24</v>
      </c>
      <c r="C193" s="73"/>
      <c r="D193" s="10"/>
      <c r="E193" s="10"/>
      <c r="F193" s="10"/>
      <c r="G193" s="10"/>
      <c r="H193" s="10"/>
      <c r="I193" s="10"/>
      <c r="J193" s="10"/>
      <c r="K193" s="10"/>
      <c r="L193" s="86"/>
      <c r="M193" s="86"/>
      <c r="N193" s="86"/>
      <c r="O193" s="86"/>
      <c r="P193" s="86"/>
    </row>
    <row r="194" spans="1:16" ht="15" customHeight="1">
      <c r="A194" s="72"/>
      <c r="B194" s="74" t="s">
        <v>25</v>
      </c>
      <c r="C194" s="74"/>
      <c r="D194" s="8"/>
      <c r="E194" s="8"/>
      <c r="F194" s="8"/>
      <c r="G194" s="8"/>
      <c r="H194" s="8"/>
      <c r="I194" s="8"/>
      <c r="J194" s="8"/>
      <c r="K194" s="8"/>
      <c r="L194" s="86"/>
      <c r="M194" s="86"/>
      <c r="N194" s="86"/>
      <c r="O194" s="86"/>
      <c r="P194" s="86"/>
    </row>
    <row r="195" spans="1:16" ht="15" customHeight="1">
      <c r="A195" s="72"/>
      <c r="B195" s="74" t="s">
        <v>26</v>
      </c>
      <c r="C195" s="74"/>
      <c r="D195" s="8"/>
      <c r="E195" s="8"/>
      <c r="F195" s="8"/>
      <c r="G195" s="8"/>
      <c r="H195" s="8"/>
      <c r="I195" s="8"/>
      <c r="J195" s="8"/>
      <c r="K195" s="8"/>
      <c r="L195" s="86"/>
      <c r="M195" s="86"/>
      <c r="N195" s="86"/>
      <c r="O195" s="86"/>
      <c r="P195" s="86"/>
    </row>
    <row r="196" spans="1:16" ht="15">
      <c r="A196" s="72"/>
      <c r="B196" s="70" t="s">
        <v>18</v>
      </c>
      <c r="C196" s="70"/>
      <c r="D196" s="9"/>
      <c r="E196" s="9"/>
      <c r="F196" s="9"/>
      <c r="G196" s="9"/>
      <c r="H196" s="9"/>
      <c r="I196" s="9"/>
      <c r="J196" s="9"/>
      <c r="K196" s="9"/>
      <c r="L196" s="86"/>
      <c r="M196" s="86"/>
      <c r="N196" s="86"/>
      <c r="O196" s="86"/>
      <c r="P196" s="86"/>
    </row>
    <row r="197" spans="1:16" ht="15">
      <c r="A197" s="72">
        <v>5</v>
      </c>
      <c r="B197" s="73" t="s">
        <v>27</v>
      </c>
      <c r="C197" s="73"/>
      <c r="D197" s="8"/>
      <c r="E197" s="8"/>
      <c r="F197" s="8"/>
      <c r="G197" s="8"/>
      <c r="H197" s="8"/>
      <c r="I197" s="8"/>
      <c r="J197" s="8"/>
      <c r="K197" s="8"/>
      <c r="L197" s="86"/>
      <c r="M197" s="86"/>
      <c r="N197" s="86"/>
      <c r="O197" s="86"/>
      <c r="P197" s="86"/>
    </row>
    <row r="198" spans="1:16" ht="15">
      <c r="A198" s="72"/>
      <c r="B198" s="70" t="s">
        <v>18</v>
      </c>
      <c r="C198" s="70"/>
      <c r="D198" s="9"/>
      <c r="E198" s="9"/>
      <c r="F198" s="9"/>
      <c r="G198" s="9"/>
      <c r="H198" s="9"/>
      <c r="I198" s="9"/>
      <c r="J198" s="9"/>
      <c r="K198" s="9"/>
      <c r="L198" s="86"/>
      <c r="M198" s="86"/>
      <c r="N198" s="86"/>
      <c r="O198" s="86"/>
      <c r="P198" s="86"/>
    </row>
    <row r="199" spans="1:16" ht="15">
      <c r="A199" s="72">
        <v>6</v>
      </c>
      <c r="B199" s="73" t="s">
        <v>28</v>
      </c>
      <c r="C199" s="73"/>
      <c r="D199" s="10"/>
      <c r="E199" s="10"/>
      <c r="F199" s="10"/>
      <c r="G199" s="10"/>
      <c r="H199" s="10"/>
      <c r="I199" s="10"/>
      <c r="J199" s="10"/>
      <c r="K199" s="10"/>
      <c r="L199" s="86"/>
      <c r="M199" s="86"/>
      <c r="N199" s="86"/>
      <c r="O199" s="86"/>
      <c r="P199" s="86"/>
    </row>
    <row r="200" spans="1:16" ht="15" customHeight="1">
      <c r="A200" s="72"/>
      <c r="B200" s="74" t="s">
        <v>29</v>
      </c>
      <c r="C200" s="74"/>
      <c r="D200" s="8"/>
      <c r="E200" s="8"/>
      <c r="F200" s="8"/>
      <c r="G200" s="8"/>
      <c r="H200" s="8"/>
      <c r="I200" s="8"/>
      <c r="J200" s="8"/>
      <c r="K200" s="8"/>
      <c r="L200" s="86"/>
      <c r="M200" s="86"/>
      <c r="N200" s="86"/>
      <c r="O200" s="86"/>
      <c r="P200" s="86"/>
    </row>
    <row r="201" spans="1:16" ht="15" customHeight="1">
      <c r="A201" s="72"/>
      <c r="B201" s="74" t="s">
        <v>30</v>
      </c>
      <c r="C201" s="74"/>
      <c r="D201" s="8"/>
      <c r="E201" s="8"/>
      <c r="F201" s="8"/>
      <c r="G201" s="8"/>
      <c r="H201" s="8"/>
      <c r="I201" s="8"/>
      <c r="J201" s="8"/>
      <c r="K201" s="8"/>
      <c r="L201" s="86"/>
      <c r="M201" s="86"/>
      <c r="N201" s="86"/>
      <c r="O201" s="86"/>
      <c r="P201" s="86"/>
    </row>
    <row r="202" spans="1:16" ht="15" customHeight="1">
      <c r="A202" s="72"/>
      <c r="B202" s="74" t="s">
        <v>31</v>
      </c>
      <c r="C202" s="74"/>
      <c r="D202" s="8"/>
      <c r="E202" s="8"/>
      <c r="F202" s="8"/>
      <c r="G202" s="8"/>
      <c r="H202" s="8"/>
      <c r="I202" s="8"/>
      <c r="J202" s="8"/>
      <c r="K202" s="8"/>
      <c r="L202" s="86"/>
      <c r="M202" s="86"/>
      <c r="N202" s="86"/>
      <c r="O202" s="86"/>
      <c r="P202" s="86"/>
    </row>
    <row r="203" spans="1:16" ht="15" customHeight="1">
      <c r="A203" s="72"/>
      <c r="B203" s="74" t="s">
        <v>32</v>
      </c>
      <c r="C203" s="74"/>
      <c r="D203" s="8"/>
      <c r="E203" s="8"/>
      <c r="F203" s="8"/>
      <c r="G203" s="8"/>
      <c r="H203" s="8"/>
      <c r="I203" s="8"/>
      <c r="J203" s="8"/>
      <c r="K203" s="8"/>
      <c r="L203" s="86"/>
      <c r="M203" s="86"/>
      <c r="N203" s="86"/>
      <c r="O203" s="86"/>
      <c r="P203" s="86"/>
    </row>
    <row r="204" spans="1:16" ht="15" customHeight="1">
      <c r="A204" s="72"/>
      <c r="B204" s="74" t="s">
        <v>33</v>
      </c>
      <c r="C204" s="74"/>
      <c r="D204" s="8"/>
      <c r="E204" s="8"/>
      <c r="F204" s="8"/>
      <c r="G204" s="8"/>
      <c r="H204" s="8"/>
      <c r="I204" s="8"/>
      <c r="J204" s="8"/>
      <c r="K204" s="8"/>
      <c r="L204" s="86"/>
      <c r="M204" s="86"/>
      <c r="N204" s="86"/>
      <c r="O204" s="86"/>
      <c r="P204" s="86"/>
    </row>
    <row r="205" spans="1:16" ht="15">
      <c r="A205" s="72"/>
      <c r="B205" s="70" t="s">
        <v>18</v>
      </c>
      <c r="C205" s="70"/>
      <c r="D205" s="9"/>
      <c r="E205" s="9"/>
      <c r="F205" s="9"/>
      <c r="G205" s="9"/>
      <c r="H205" s="9"/>
      <c r="I205" s="9"/>
      <c r="J205" s="9"/>
      <c r="K205" s="9"/>
      <c r="L205" s="86"/>
      <c r="M205" s="86"/>
      <c r="N205" s="86"/>
      <c r="O205" s="86"/>
      <c r="P205" s="86"/>
    </row>
    <row r="206" spans="1:16" ht="15">
      <c r="A206" s="72">
        <v>7</v>
      </c>
      <c r="B206" s="73" t="s">
        <v>34</v>
      </c>
      <c r="C206" s="73"/>
      <c r="D206" s="10"/>
      <c r="E206" s="10"/>
      <c r="F206" s="10"/>
      <c r="G206" s="10"/>
      <c r="H206" s="10"/>
      <c r="I206" s="10"/>
      <c r="J206" s="10"/>
      <c r="K206" s="10"/>
      <c r="L206" s="86"/>
      <c r="M206" s="86"/>
      <c r="N206" s="86"/>
      <c r="O206" s="86"/>
      <c r="P206" s="86"/>
    </row>
    <row r="207" spans="1:16" ht="15" customHeight="1">
      <c r="A207" s="72"/>
      <c r="B207" s="74" t="s">
        <v>35</v>
      </c>
      <c r="C207" s="74"/>
      <c r="D207" s="8"/>
      <c r="E207" s="8"/>
      <c r="F207" s="8"/>
      <c r="G207" s="8"/>
      <c r="H207" s="8"/>
      <c r="I207" s="8"/>
      <c r="J207" s="8"/>
      <c r="K207" s="8"/>
      <c r="L207" s="86"/>
      <c r="M207" s="86"/>
      <c r="N207" s="86"/>
      <c r="O207" s="86"/>
      <c r="P207" s="86"/>
    </row>
    <row r="208" spans="1:16" ht="15" customHeight="1">
      <c r="A208" s="72"/>
      <c r="B208" s="74" t="s">
        <v>36</v>
      </c>
      <c r="C208" s="74"/>
      <c r="D208" s="8"/>
      <c r="E208" s="8"/>
      <c r="F208" s="8"/>
      <c r="G208" s="8"/>
      <c r="H208" s="8"/>
      <c r="I208" s="8"/>
      <c r="J208" s="8"/>
      <c r="K208" s="8"/>
      <c r="L208" s="86"/>
      <c r="M208" s="86"/>
      <c r="N208" s="86"/>
      <c r="O208" s="86"/>
      <c r="P208" s="86"/>
    </row>
    <row r="209" spans="1:16" ht="15" customHeight="1">
      <c r="A209" s="72"/>
      <c r="B209" s="74" t="s">
        <v>37</v>
      </c>
      <c r="C209" s="74"/>
      <c r="D209" s="8"/>
      <c r="E209" s="8"/>
      <c r="F209" s="8"/>
      <c r="G209" s="8"/>
      <c r="H209" s="8"/>
      <c r="I209" s="8"/>
      <c r="J209" s="8"/>
      <c r="K209" s="8"/>
      <c r="L209" s="86"/>
      <c r="M209" s="86"/>
      <c r="N209" s="86"/>
      <c r="O209" s="86"/>
      <c r="P209" s="86"/>
    </row>
    <row r="210" spans="1:16" ht="15" customHeight="1">
      <c r="A210" s="72"/>
      <c r="B210" s="74" t="s">
        <v>38</v>
      </c>
      <c r="C210" s="74"/>
      <c r="D210" s="8"/>
      <c r="E210" s="8"/>
      <c r="F210" s="8"/>
      <c r="G210" s="8"/>
      <c r="H210" s="8"/>
      <c r="I210" s="8"/>
      <c r="J210" s="8"/>
      <c r="K210" s="8"/>
      <c r="L210" s="86"/>
      <c r="M210" s="86"/>
      <c r="N210" s="86"/>
      <c r="O210" s="86"/>
      <c r="P210" s="86"/>
    </row>
    <row r="211" spans="1:16" ht="15" customHeight="1">
      <c r="A211" s="72"/>
      <c r="B211" s="74" t="s">
        <v>39</v>
      </c>
      <c r="C211" s="74"/>
      <c r="D211" s="8"/>
      <c r="E211" s="8"/>
      <c r="F211" s="8"/>
      <c r="G211" s="8"/>
      <c r="H211" s="8"/>
      <c r="I211" s="8"/>
      <c r="J211" s="8"/>
      <c r="K211" s="8"/>
      <c r="L211" s="86"/>
      <c r="M211" s="86"/>
      <c r="N211" s="86"/>
      <c r="O211" s="86"/>
      <c r="P211" s="86"/>
    </row>
    <row r="212" spans="1:16" ht="15" customHeight="1">
      <c r="A212" s="72"/>
      <c r="B212" s="74" t="s">
        <v>40</v>
      </c>
      <c r="C212" s="74"/>
      <c r="D212" s="8"/>
      <c r="E212" s="8"/>
      <c r="F212" s="8"/>
      <c r="G212" s="8"/>
      <c r="H212" s="8"/>
      <c r="I212" s="8"/>
      <c r="J212" s="8"/>
      <c r="K212" s="8"/>
      <c r="L212" s="86"/>
      <c r="M212" s="86"/>
      <c r="N212" s="86"/>
      <c r="O212" s="86"/>
      <c r="P212" s="86"/>
    </row>
    <row r="213" spans="1:16" ht="15" customHeight="1">
      <c r="A213" s="72"/>
      <c r="B213" s="74" t="s">
        <v>41</v>
      </c>
      <c r="C213" s="74"/>
      <c r="D213" s="8"/>
      <c r="E213" s="8"/>
      <c r="F213" s="8"/>
      <c r="G213" s="8"/>
      <c r="H213" s="8"/>
      <c r="I213" s="8"/>
      <c r="J213" s="8"/>
      <c r="K213" s="8"/>
      <c r="L213" s="86"/>
      <c r="M213" s="86"/>
      <c r="N213" s="86"/>
      <c r="O213" s="86"/>
      <c r="P213" s="86"/>
    </row>
    <row r="214" spans="1:16" ht="15" customHeight="1">
      <c r="A214" s="72"/>
      <c r="B214" s="74" t="s">
        <v>42</v>
      </c>
      <c r="C214" s="74"/>
      <c r="D214" s="8"/>
      <c r="E214" s="8"/>
      <c r="F214" s="8"/>
      <c r="G214" s="8"/>
      <c r="H214" s="8"/>
      <c r="I214" s="8"/>
      <c r="J214" s="8"/>
      <c r="K214" s="8"/>
      <c r="L214" s="86"/>
      <c r="M214" s="86"/>
      <c r="N214" s="86"/>
      <c r="O214" s="86"/>
      <c r="P214" s="86"/>
    </row>
    <row r="215" spans="1:16" ht="15" customHeight="1">
      <c r="A215" s="72"/>
      <c r="B215" s="68" t="s">
        <v>43</v>
      </c>
      <c r="C215" s="69"/>
      <c r="D215" s="8"/>
      <c r="E215" s="8"/>
      <c r="F215" s="8"/>
      <c r="G215" s="8"/>
      <c r="H215" s="8"/>
      <c r="I215" s="8"/>
      <c r="J215" s="8"/>
      <c r="K215" s="8"/>
      <c r="L215" s="86"/>
      <c r="M215" s="86"/>
      <c r="N215" s="86"/>
      <c r="O215" s="86"/>
      <c r="P215" s="86"/>
    </row>
    <row r="216" spans="1:16" ht="15">
      <c r="A216" s="72"/>
      <c r="B216" s="70" t="s">
        <v>18</v>
      </c>
      <c r="C216" s="70"/>
      <c r="D216" s="9"/>
      <c r="E216" s="9"/>
      <c r="F216" s="9"/>
      <c r="G216" s="9"/>
      <c r="H216" s="9"/>
      <c r="I216" s="9"/>
      <c r="J216" s="9"/>
      <c r="K216" s="9"/>
      <c r="L216" s="86"/>
      <c r="M216" s="86"/>
      <c r="N216" s="86"/>
      <c r="O216" s="86"/>
      <c r="P216" s="86"/>
    </row>
    <row r="218" spans="1:16" ht="15">
      <c r="B218" s="71" t="s">
        <v>44</v>
      </c>
      <c r="C218" s="71"/>
      <c r="D218" s="1">
        <f>SUM(D184:D215)</f>
        <v>0</v>
      </c>
      <c r="E218" s="1">
        <f t="shared" ref="E218:K218" si="12">SUM(E184:E215)</f>
        <v>0</v>
      </c>
      <c r="F218" s="1">
        <f t="shared" si="12"/>
        <v>0</v>
      </c>
      <c r="G218" s="1">
        <f t="shared" si="12"/>
        <v>0</v>
      </c>
      <c r="H218" s="1">
        <f t="shared" si="12"/>
        <v>0</v>
      </c>
      <c r="I218" s="1">
        <f t="shared" si="12"/>
        <v>0</v>
      </c>
      <c r="J218" s="1">
        <f t="shared" si="12"/>
        <v>0</v>
      </c>
      <c r="K218" s="1">
        <f t="shared" si="12"/>
        <v>0</v>
      </c>
      <c r="M218" s="17" t="s">
        <v>2</v>
      </c>
      <c r="N218" s="17" t="s">
        <v>3</v>
      </c>
    </row>
    <row r="219" spans="1:16" ht="15">
      <c r="C219" s="64"/>
      <c r="D219" s="1">
        <f>COUNT(D184:D216)*5</f>
        <v>0</v>
      </c>
      <c r="E219" s="1">
        <f t="shared" ref="E219:K219" si="13">COUNT(E184:E216)*5</f>
        <v>0</v>
      </c>
      <c r="F219" s="1">
        <f t="shared" si="13"/>
        <v>0</v>
      </c>
      <c r="G219" s="1">
        <f t="shared" si="13"/>
        <v>0</v>
      </c>
      <c r="H219" s="1">
        <f t="shared" si="13"/>
        <v>0</v>
      </c>
      <c r="I219" s="1">
        <f t="shared" si="13"/>
        <v>0</v>
      </c>
      <c r="J219" s="1">
        <f t="shared" si="13"/>
        <v>0</v>
      </c>
      <c r="K219" s="1">
        <f t="shared" si="13"/>
        <v>0</v>
      </c>
      <c r="M219" s="18" t="e">
        <f>(D220+F220+H220+J220)/4</f>
        <v>#DIV/0!</v>
      </c>
      <c r="N219" s="18" t="e">
        <f>(E220+G220+I220+K220)/4</f>
        <v>#DIV/0!</v>
      </c>
    </row>
    <row r="220" spans="1:16" ht="15">
      <c r="C220" s="2" t="s">
        <v>45</v>
      </c>
      <c r="D220" s="11" t="e">
        <f>D218/D219</f>
        <v>#DIV/0!</v>
      </c>
      <c r="E220" s="11" t="e">
        <f t="shared" ref="E220:K220" si="14">E218/E219</f>
        <v>#DIV/0!</v>
      </c>
      <c r="F220" s="11" t="e">
        <f t="shared" si="14"/>
        <v>#DIV/0!</v>
      </c>
      <c r="G220" s="11" t="e">
        <f t="shared" si="14"/>
        <v>#DIV/0!</v>
      </c>
      <c r="H220" s="11" t="e">
        <f t="shared" si="14"/>
        <v>#DIV/0!</v>
      </c>
      <c r="I220" s="11" t="e">
        <f t="shared" si="14"/>
        <v>#DIV/0!</v>
      </c>
      <c r="J220" s="11" t="e">
        <f t="shared" si="14"/>
        <v>#DIV/0!</v>
      </c>
      <c r="K220" s="11" t="e">
        <f t="shared" si="14"/>
        <v>#DIV/0!</v>
      </c>
      <c r="L220" s="4"/>
      <c r="M220" s="4"/>
      <c r="N220" s="4"/>
      <c r="O220" s="4"/>
      <c r="P220" s="4"/>
    </row>
    <row r="221" spans="1:16" s="22" customFormat="1"/>
    <row r="222" spans="1:16" ht="18">
      <c r="B222" s="16" t="s">
        <v>50</v>
      </c>
      <c r="C222" s="23" t="s">
        <v>6</v>
      </c>
      <c r="D222" s="75" t="s">
        <v>7</v>
      </c>
      <c r="E222" s="76"/>
      <c r="F222" s="75" t="s">
        <v>8</v>
      </c>
      <c r="G222" s="76"/>
      <c r="H222" s="75" t="s">
        <v>9</v>
      </c>
      <c r="I222" s="76"/>
      <c r="J222" s="75" t="s">
        <v>10</v>
      </c>
      <c r="K222" s="76"/>
    </row>
    <row r="223" spans="1:16" s="1" customFormat="1" ht="15">
      <c r="A223" s="77" t="s">
        <v>11</v>
      </c>
      <c r="B223" s="77" t="s">
        <v>12</v>
      </c>
      <c r="C223" s="6" t="s">
        <v>13</v>
      </c>
      <c r="D223" s="29"/>
      <c r="E223" s="29"/>
      <c r="F223" s="29"/>
      <c r="G223" s="29"/>
      <c r="H223" s="29"/>
      <c r="I223" s="29"/>
      <c r="J223" s="29"/>
      <c r="K223" s="29"/>
      <c r="L223" s="80" t="s">
        <v>14</v>
      </c>
      <c r="M223" s="81"/>
      <c r="N223" s="81"/>
      <c r="O223" s="81"/>
      <c r="P223" s="81"/>
    </row>
    <row r="224" spans="1:16" s="1" customFormat="1" ht="15">
      <c r="A224" s="78"/>
      <c r="B224" s="78"/>
      <c r="C224" s="6"/>
      <c r="D224" s="7" t="s">
        <v>2</v>
      </c>
      <c r="E224" s="7" t="s">
        <v>15</v>
      </c>
      <c r="F224" s="7" t="s">
        <v>2</v>
      </c>
      <c r="G224" s="7" t="s">
        <v>15</v>
      </c>
      <c r="H224" s="7" t="s">
        <v>2</v>
      </c>
      <c r="I224" s="7" t="s">
        <v>15</v>
      </c>
      <c r="J224" s="7" t="s">
        <v>2</v>
      </c>
      <c r="K224" s="7" t="s">
        <v>15</v>
      </c>
      <c r="L224" s="80"/>
      <c r="M224" s="81"/>
      <c r="N224" s="81"/>
      <c r="O224" s="81"/>
      <c r="P224" s="81"/>
    </row>
    <row r="225" spans="1:16" s="1" customFormat="1" ht="15">
      <c r="A225" s="79"/>
      <c r="B225" s="79"/>
      <c r="C225" s="6" t="s">
        <v>16</v>
      </c>
      <c r="D225" s="6"/>
      <c r="E225" s="6"/>
      <c r="F225" s="6"/>
      <c r="G225" s="6"/>
      <c r="H225" s="6"/>
      <c r="I225" s="6"/>
      <c r="J225" s="6"/>
      <c r="K225" s="6"/>
      <c r="L225" s="80"/>
      <c r="M225" s="81"/>
      <c r="N225" s="81"/>
      <c r="O225" s="81"/>
      <c r="P225" s="81"/>
    </row>
    <row r="226" spans="1:16" ht="15">
      <c r="A226" s="82">
        <v>1</v>
      </c>
      <c r="B226" s="84" t="s">
        <v>17</v>
      </c>
      <c r="C226" s="85"/>
      <c r="D226" s="8"/>
      <c r="E226" s="8"/>
      <c r="F226" s="8"/>
      <c r="G226" s="8"/>
      <c r="H226" s="8"/>
      <c r="I226" s="8"/>
      <c r="J226" s="8"/>
      <c r="K226" s="8"/>
      <c r="L226" s="86"/>
      <c r="M226" s="86"/>
      <c r="N226" s="86"/>
      <c r="O226" s="86"/>
      <c r="P226" s="86"/>
    </row>
    <row r="227" spans="1:16" ht="15">
      <c r="A227" s="83"/>
      <c r="B227" s="87" t="s">
        <v>18</v>
      </c>
      <c r="C227" s="88"/>
      <c r="D227" s="9"/>
      <c r="E227" s="9"/>
      <c r="F227" s="9"/>
      <c r="G227" s="9"/>
      <c r="H227" s="9"/>
      <c r="I227" s="9"/>
      <c r="J227" s="9"/>
      <c r="K227" s="9"/>
      <c r="L227" s="86"/>
      <c r="M227" s="86"/>
      <c r="N227" s="86"/>
      <c r="O227" s="86"/>
      <c r="P227" s="86"/>
    </row>
    <row r="228" spans="1:16" ht="15">
      <c r="A228" s="72">
        <v>2</v>
      </c>
      <c r="B228" s="73" t="s">
        <v>19</v>
      </c>
      <c r="C228" s="73"/>
      <c r="D228" s="8"/>
      <c r="E228" s="8"/>
      <c r="F228" s="8"/>
      <c r="G228" s="8"/>
      <c r="H228" s="8"/>
      <c r="I228" s="8"/>
      <c r="J228" s="8"/>
      <c r="K228" s="8"/>
      <c r="L228" s="86"/>
      <c r="M228" s="86"/>
      <c r="N228" s="86"/>
      <c r="O228" s="86"/>
      <c r="P228" s="86"/>
    </row>
    <row r="229" spans="1:16" ht="15">
      <c r="A229" s="72"/>
      <c r="B229" s="70" t="s">
        <v>18</v>
      </c>
      <c r="C229" s="70"/>
      <c r="D229" s="9"/>
      <c r="E229" s="9"/>
      <c r="F229" s="9"/>
      <c r="G229" s="9"/>
      <c r="H229" s="9"/>
      <c r="I229" s="9"/>
      <c r="J229" s="9"/>
      <c r="K229" s="9"/>
      <c r="L229" s="86"/>
      <c r="M229" s="86"/>
      <c r="N229" s="86"/>
      <c r="O229" s="86"/>
      <c r="P229" s="86"/>
    </row>
    <row r="230" spans="1:16" ht="15">
      <c r="A230" s="72">
        <v>3</v>
      </c>
      <c r="B230" s="73" t="s">
        <v>20</v>
      </c>
      <c r="C230" s="73"/>
      <c r="D230" s="10"/>
      <c r="E230" s="10"/>
      <c r="F230" s="10"/>
      <c r="G230" s="10"/>
      <c r="H230" s="10"/>
      <c r="I230" s="10"/>
      <c r="J230" s="10"/>
      <c r="K230" s="10"/>
      <c r="L230" s="86"/>
      <c r="M230" s="86"/>
      <c r="N230" s="86"/>
      <c r="O230" s="86"/>
      <c r="P230" s="86"/>
    </row>
    <row r="231" spans="1:16" ht="15" customHeight="1">
      <c r="A231" s="72"/>
      <c r="B231" s="74" t="s">
        <v>21</v>
      </c>
      <c r="C231" s="74"/>
      <c r="D231" s="8"/>
      <c r="E231" s="8"/>
      <c r="F231" s="8"/>
      <c r="G231" s="8"/>
      <c r="H231" s="8"/>
      <c r="I231" s="8"/>
      <c r="J231" s="8"/>
      <c r="K231" s="8"/>
      <c r="L231" s="86"/>
      <c r="M231" s="86"/>
      <c r="N231" s="86"/>
      <c r="O231" s="86"/>
      <c r="P231" s="86"/>
    </row>
    <row r="232" spans="1:16" ht="15" customHeight="1">
      <c r="A232" s="72"/>
      <c r="B232" s="74" t="s">
        <v>22</v>
      </c>
      <c r="C232" s="74"/>
      <c r="D232" s="8"/>
      <c r="E232" s="8"/>
      <c r="F232" s="8"/>
      <c r="G232" s="8"/>
      <c r="H232" s="8"/>
      <c r="I232" s="8"/>
      <c r="J232" s="8"/>
      <c r="K232" s="8"/>
      <c r="L232" s="86"/>
      <c r="M232" s="86"/>
      <c r="N232" s="86"/>
      <c r="O232" s="86"/>
      <c r="P232" s="86"/>
    </row>
    <row r="233" spans="1:16" ht="15" customHeight="1">
      <c r="A233" s="72"/>
      <c r="B233" s="74" t="s">
        <v>23</v>
      </c>
      <c r="C233" s="74"/>
      <c r="D233" s="8"/>
      <c r="E233" s="8"/>
      <c r="F233" s="8"/>
      <c r="G233" s="8"/>
      <c r="H233" s="8"/>
      <c r="I233" s="8"/>
      <c r="J233" s="8"/>
      <c r="K233" s="8"/>
      <c r="L233" s="86"/>
      <c r="M233" s="86"/>
      <c r="N233" s="86"/>
      <c r="O233" s="86"/>
      <c r="P233" s="86"/>
    </row>
    <row r="234" spans="1:16" ht="15">
      <c r="A234" s="72"/>
      <c r="B234" s="70" t="s">
        <v>18</v>
      </c>
      <c r="C234" s="70"/>
      <c r="D234" s="9"/>
      <c r="E234" s="9"/>
      <c r="F234" s="9"/>
      <c r="G234" s="9"/>
      <c r="H234" s="9"/>
      <c r="I234" s="9"/>
      <c r="J234" s="9"/>
      <c r="K234" s="9"/>
      <c r="L234" s="86"/>
      <c r="M234" s="86"/>
      <c r="N234" s="86"/>
      <c r="O234" s="86"/>
      <c r="P234" s="86"/>
    </row>
    <row r="235" spans="1:16" ht="15">
      <c r="A235" s="72">
        <v>4</v>
      </c>
      <c r="B235" s="73" t="s">
        <v>24</v>
      </c>
      <c r="C235" s="73"/>
      <c r="D235" s="10"/>
      <c r="E235" s="10"/>
      <c r="F235" s="10"/>
      <c r="G235" s="10"/>
      <c r="H235" s="10"/>
      <c r="I235" s="10"/>
      <c r="J235" s="10"/>
      <c r="K235" s="10"/>
      <c r="L235" s="86"/>
      <c r="M235" s="86"/>
      <c r="N235" s="86"/>
      <c r="O235" s="86"/>
      <c r="P235" s="86"/>
    </row>
    <row r="236" spans="1:16" ht="15" customHeight="1">
      <c r="A236" s="72"/>
      <c r="B236" s="74" t="s">
        <v>25</v>
      </c>
      <c r="C236" s="74"/>
      <c r="D236" s="8"/>
      <c r="E236" s="8"/>
      <c r="F236" s="8"/>
      <c r="G236" s="8"/>
      <c r="H236" s="8"/>
      <c r="I236" s="8"/>
      <c r="J236" s="8"/>
      <c r="K236" s="8"/>
      <c r="L236" s="86"/>
      <c r="M236" s="86"/>
      <c r="N236" s="86"/>
      <c r="O236" s="86"/>
      <c r="P236" s="86"/>
    </row>
    <row r="237" spans="1:16" ht="15" customHeight="1">
      <c r="A237" s="72"/>
      <c r="B237" s="74" t="s">
        <v>26</v>
      </c>
      <c r="C237" s="74"/>
      <c r="D237" s="8"/>
      <c r="E237" s="8"/>
      <c r="F237" s="8"/>
      <c r="G237" s="8"/>
      <c r="H237" s="8"/>
      <c r="I237" s="8"/>
      <c r="J237" s="8"/>
      <c r="K237" s="8"/>
      <c r="L237" s="86"/>
      <c r="M237" s="86"/>
      <c r="N237" s="86"/>
      <c r="O237" s="86"/>
      <c r="P237" s="86"/>
    </row>
    <row r="238" spans="1:16" ht="15">
      <c r="A238" s="72"/>
      <c r="B238" s="70" t="s">
        <v>18</v>
      </c>
      <c r="C238" s="70"/>
      <c r="D238" s="9"/>
      <c r="E238" s="9"/>
      <c r="F238" s="9"/>
      <c r="G238" s="9"/>
      <c r="H238" s="9"/>
      <c r="I238" s="9"/>
      <c r="J238" s="9"/>
      <c r="K238" s="9"/>
      <c r="L238" s="86"/>
      <c r="M238" s="86"/>
      <c r="N238" s="86"/>
      <c r="O238" s="86"/>
      <c r="P238" s="86"/>
    </row>
    <row r="239" spans="1:16" ht="15">
      <c r="A239" s="72">
        <v>5</v>
      </c>
      <c r="B239" s="73" t="s">
        <v>27</v>
      </c>
      <c r="C239" s="73"/>
      <c r="D239" s="8"/>
      <c r="E239" s="8"/>
      <c r="F239" s="8"/>
      <c r="G239" s="8"/>
      <c r="H239" s="8"/>
      <c r="I239" s="8"/>
      <c r="J239" s="8"/>
      <c r="K239" s="8"/>
      <c r="L239" s="86"/>
      <c r="M239" s="86"/>
      <c r="N239" s="86"/>
      <c r="O239" s="86"/>
      <c r="P239" s="86"/>
    </row>
    <row r="240" spans="1:16" ht="15">
      <c r="A240" s="72"/>
      <c r="B240" s="70" t="s">
        <v>18</v>
      </c>
      <c r="C240" s="70"/>
      <c r="D240" s="9"/>
      <c r="E240" s="9"/>
      <c r="F240" s="9"/>
      <c r="G240" s="9"/>
      <c r="H240" s="9"/>
      <c r="I240" s="9"/>
      <c r="J240" s="9"/>
      <c r="K240" s="9"/>
      <c r="L240" s="86"/>
      <c r="M240" s="86"/>
      <c r="N240" s="86"/>
      <c r="O240" s="86"/>
      <c r="P240" s="86"/>
    </row>
    <row r="241" spans="1:16" ht="15">
      <c r="A241" s="72">
        <v>6</v>
      </c>
      <c r="B241" s="73" t="s">
        <v>28</v>
      </c>
      <c r="C241" s="73"/>
      <c r="D241" s="10"/>
      <c r="E241" s="10"/>
      <c r="F241" s="10"/>
      <c r="G241" s="10"/>
      <c r="H241" s="10"/>
      <c r="I241" s="10"/>
      <c r="J241" s="10"/>
      <c r="K241" s="10"/>
      <c r="L241" s="86"/>
      <c r="M241" s="86"/>
      <c r="N241" s="86"/>
      <c r="O241" s="86"/>
      <c r="P241" s="86"/>
    </row>
    <row r="242" spans="1:16" ht="15" customHeight="1">
      <c r="A242" s="72"/>
      <c r="B242" s="74" t="s">
        <v>29</v>
      </c>
      <c r="C242" s="74"/>
      <c r="D242" s="8"/>
      <c r="E242" s="8"/>
      <c r="F242" s="8"/>
      <c r="G242" s="8"/>
      <c r="H242" s="8"/>
      <c r="I242" s="8"/>
      <c r="J242" s="8"/>
      <c r="K242" s="8"/>
      <c r="L242" s="86"/>
      <c r="M242" s="86"/>
      <c r="N242" s="86"/>
      <c r="O242" s="86"/>
      <c r="P242" s="86"/>
    </row>
    <row r="243" spans="1:16" ht="15" customHeight="1">
      <c r="A243" s="72"/>
      <c r="B243" s="74" t="s">
        <v>30</v>
      </c>
      <c r="C243" s="74"/>
      <c r="D243" s="8"/>
      <c r="E243" s="8"/>
      <c r="F243" s="8"/>
      <c r="G243" s="8"/>
      <c r="H243" s="8"/>
      <c r="I243" s="8"/>
      <c r="J243" s="8"/>
      <c r="K243" s="8"/>
      <c r="L243" s="86"/>
      <c r="M243" s="86"/>
      <c r="N243" s="86"/>
      <c r="O243" s="86"/>
      <c r="P243" s="86"/>
    </row>
    <row r="244" spans="1:16" ht="15" customHeight="1">
      <c r="A244" s="72"/>
      <c r="B244" s="74" t="s">
        <v>31</v>
      </c>
      <c r="C244" s="74"/>
      <c r="D244" s="8"/>
      <c r="E244" s="8"/>
      <c r="F244" s="8"/>
      <c r="G244" s="8"/>
      <c r="H244" s="8"/>
      <c r="I244" s="8"/>
      <c r="J244" s="8"/>
      <c r="K244" s="8"/>
      <c r="L244" s="86"/>
      <c r="M244" s="86"/>
      <c r="N244" s="86"/>
      <c r="O244" s="86"/>
      <c r="P244" s="86"/>
    </row>
    <row r="245" spans="1:16" ht="15" customHeight="1">
      <c r="A245" s="72"/>
      <c r="B245" s="74" t="s">
        <v>32</v>
      </c>
      <c r="C245" s="74"/>
      <c r="D245" s="8"/>
      <c r="E245" s="8"/>
      <c r="F245" s="8"/>
      <c r="G245" s="8"/>
      <c r="H245" s="8"/>
      <c r="I245" s="8"/>
      <c r="J245" s="8"/>
      <c r="K245" s="8"/>
      <c r="L245" s="86"/>
      <c r="M245" s="86"/>
      <c r="N245" s="86"/>
      <c r="O245" s="86"/>
      <c r="P245" s="86"/>
    </row>
    <row r="246" spans="1:16" ht="15" customHeight="1">
      <c r="A246" s="72"/>
      <c r="B246" s="74" t="s">
        <v>33</v>
      </c>
      <c r="C246" s="74"/>
      <c r="D246" s="8"/>
      <c r="E246" s="8"/>
      <c r="F246" s="8"/>
      <c r="G246" s="8"/>
      <c r="H246" s="8"/>
      <c r="I246" s="8"/>
      <c r="J246" s="8"/>
      <c r="K246" s="8"/>
      <c r="L246" s="86"/>
      <c r="M246" s="86"/>
      <c r="N246" s="86"/>
      <c r="O246" s="86"/>
      <c r="P246" s="86"/>
    </row>
    <row r="247" spans="1:16" ht="15">
      <c r="A247" s="72"/>
      <c r="B247" s="70" t="s">
        <v>18</v>
      </c>
      <c r="C247" s="70"/>
      <c r="D247" s="9"/>
      <c r="E247" s="9"/>
      <c r="F247" s="9"/>
      <c r="G247" s="9"/>
      <c r="H247" s="9"/>
      <c r="I247" s="9"/>
      <c r="J247" s="9"/>
      <c r="K247" s="9"/>
      <c r="L247" s="86"/>
      <c r="M247" s="86"/>
      <c r="N247" s="86"/>
      <c r="O247" s="86"/>
      <c r="P247" s="86"/>
    </row>
    <row r="248" spans="1:16" ht="15">
      <c r="A248" s="72">
        <v>7</v>
      </c>
      <c r="B248" s="73" t="s">
        <v>34</v>
      </c>
      <c r="C248" s="73"/>
      <c r="D248" s="10"/>
      <c r="E248" s="10"/>
      <c r="F248" s="10"/>
      <c r="G248" s="10"/>
      <c r="H248" s="10"/>
      <c r="I248" s="10"/>
      <c r="J248" s="10"/>
      <c r="K248" s="10"/>
      <c r="L248" s="86"/>
      <c r="M248" s="86"/>
      <c r="N248" s="86"/>
      <c r="O248" s="86"/>
      <c r="P248" s="86"/>
    </row>
    <row r="249" spans="1:16" ht="15" customHeight="1">
      <c r="A249" s="72"/>
      <c r="B249" s="74" t="s">
        <v>35</v>
      </c>
      <c r="C249" s="74"/>
      <c r="D249" s="8"/>
      <c r="E249" s="8"/>
      <c r="F249" s="8"/>
      <c r="G249" s="8"/>
      <c r="H249" s="8"/>
      <c r="I249" s="8"/>
      <c r="J249" s="8"/>
      <c r="K249" s="8"/>
      <c r="L249" s="86"/>
      <c r="M249" s="86"/>
      <c r="N249" s="86"/>
      <c r="O249" s="86"/>
      <c r="P249" s="86"/>
    </row>
    <row r="250" spans="1:16" ht="15" customHeight="1">
      <c r="A250" s="72"/>
      <c r="B250" s="74" t="s">
        <v>36</v>
      </c>
      <c r="C250" s="74"/>
      <c r="D250" s="8"/>
      <c r="E250" s="8"/>
      <c r="F250" s="8"/>
      <c r="G250" s="8"/>
      <c r="H250" s="8"/>
      <c r="I250" s="8"/>
      <c r="J250" s="8"/>
      <c r="K250" s="8"/>
      <c r="L250" s="86"/>
      <c r="M250" s="86"/>
      <c r="N250" s="86"/>
      <c r="O250" s="86"/>
      <c r="P250" s="86"/>
    </row>
    <row r="251" spans="1:16" ht="15" customHeight="1">
      <c r="A251" s="72"/>
      <c r="B251" s="74" t="s">
        <v>37</v>
      </c>
      <c r="C251" s="74"/>
      <c r="D251" s="8"/>
      <c r="E251" s="8"/>
      <c r="F251" s="8"/>
      <c r="G251" s="8"/>
      <c r="H251" s="8"/>
      <c r="I251" s="8"/>
      <c r="J251" s="8"/>
      <c r="K251" s="8"/>
      <c r="L251" s="86"/>
      <c r="M251" s="86"/>
      <c r="N251" s="86"/>
      <c r="O251" s="86"/>
      <c r="P251" s="86"/>
    </row>
    <row r="252" spans="1:16" ht="15" customHeight="1">
      <c r="A252" s="72"/>
      <c r="B252" s="74" t="s">
        <v>38</v>
      </c>
      <c r="C252" s="74"/>
      <c r="D252" s="8"/>
      <c r="E252" s="8"/>
      <c r="F252" s="8"/>
      <c r="G252" s="8"/>
      <c r="H252" s="8"/>
      <c r="I252" s="8"/>
      <c r="J252" s="8"/>
      <c r="K252" s="8"/>
      <c r="L252" s="86"/>
      <c r="M252" s="86"/>
      <c r="N252" s="86"/>
      <c r="O252" s="86"/>
      <c r="P252" s="86"/>
    </row>
    <row r="253" spans="1:16" ht="15" customHeight="1">
      <c r="A253" s="72"/>
      <c r="B253" s="74" t="s">
        <v>39</v>
      </c>
      <c r="C253" s="74"/>
      <c r="D253" s="8"/>
      <c r="E253" s="8"/>
      <c r="F253" s="8"/>
      <c r="G253" s="8"/>
      <c r="H253" s="8"/>
      <c r="I253" s="8"/>
      <c r="J253" s="8"/>
      <c r="K253" s="8"/>
      <c r="L253" s="86"/>
      <c r="M253" s="86"/>
      <c r="N253" s="86"/>
      <c r="O253" s="86"/>
      <c r="P253" s="86"/>
    </row>
    <row r="254" spans="1:16" ht="15" customHeight="1">
      <c r="A254" s="72"/>
      <c r="B254" s="74" t="s">
        <v>40</v>
      </c>
      <c r="C254" s="74"/>
      <c r="D254" s="8"/>
      <c r="E254" s="8"/>
      <c r="F254" s="8"/>
      <c r="G254" s="8"/>
      <c r="H254" s="8"/>
      <c r="I254" s="8"/>
      <c r="J254" s="8"/>
      <c r="K254" s="8"/>
      <c r="L254" s="86"/>
      <c r="M254" s="86"/>
      <c r="N254" s="86"/>
      <c r="O254" s="86"/>
      <c r="P254" s="86"/>
    </row>
    <row r="255" spans="1:16" ht="15" customHeight="1">
      <c r="A255" s="72"/>
      <c r="B255" s="74" t="s">
        <v>41</v>
      </c>
      <c r="C255" s="74"/>
      <c r="D255" s="8"/>
      <c r="E255" s="8"/>
      <c r="F255" s="8"/>
      <c r="G255" s="8"/>
      <c r="H255" s="8"/>
      <c r="I255" s="8"/>
      <c r="J255" s="8"/>
      <c r="K255" s="8"/>
      <c r="L255" s="86"/>
      <c r="M255" s="86"/>
      <c r="N255" s="86"/>
      <c r="O255" s="86"/>
      <c r="P255" s="86"/>
    </row>
    <row r="256" spans="1:16" ht="15" customHeight="1">
      <c r="A256" s="72"/>
      <c r="B256" s="74" t="s">
        <v>42</v>
      </c>
      <c r="C256" s="74"/>
      <c r="D256" s="8"/>
      <c r="E256" s="8"/>
      <c r="F256" s="8"/>
      <c r="G256" s="8"/>
      <c r="H256" s="8"/>
      <c r="I256" s="8"/>
      <c r="J256" s="8"/>
      <c r="K256" s="8"/>
      <c r="L256" s="86"/>
      <c r="M256" s="86"/>
      <c r="N256" s="86"/>
      <c r="O256" s="86"/>
      <c r="P256" s="86"/>
    </row>
    <row r="257" spans="1:16" ht="15" customHeight="1">
      <c r="A257" s="72"/>
      <c r="B257" s="68" t="s">
        <v>43</v>
      </c>
      <c r="C257" s="69"/>
      <c r="D257" s="8"/>
      <c r="E257" s="8"/>
      <c r="F257" s="8"/>
      <c r="G257" s="8"/>
      <c r="H257" s="8"/>
      <c r="I257" s="8"/>
      <c r="J257" s="8"/>
      <c r="K257" s="8"/>
      <c r="L257" s="86"/>
      <c r="M257" s="86"/>
      <c r="N257" s="86"/>
      <c r="O257" s="86"/>
      <c r="P257" s="86"/>
    </row>
    <row r="258" spans="1:16" ht="15">
      <c r="A258" s="72"/>
      <c r="B258" s="70" t="s">
        <v>18</v>
      </c>
      <c r="C258" s="70"/>
      <c r="D258" s="9"/>
      <c r="E258" s="9"/>
      <c r="F258" s="9"/>
      <c r="G258" s="9"/>
      <c r="H258" s="9"/>
      <c r="I258" s="9"/>
      <c r="J258" s="9"/>
      <c r="K258" s="9"/>
      <c r="L258" s="86"/>
      <c r="M258" s="86"/>
      <c r="N258" s="86"/>
      <c r="O258" s="86"/>
      <c r="P258" s="86"/>
    </row>
    <row r="260" spans="1:16" ht="15">
      <c r="B260" s="71" t="s">
        <v>44</v>
      </c>
      <c r="C260" s="71"/>
      <c r="D260" s="1">
        <f>SUM(D226:D257)</f>
        <v>0</v>
      </c>
      <c r="E260" s="1">
        <f t="shared" ref="E260:K260" si="15">SUM(E226:E257)</f>
        <v>0</v>
      </c>
      <c r="F260" s="1">
        <f t="shared" si="15"/>
        <v>0</v>
      </c>
      <c r="G260" s="1">
        <f t="shared" si="15"/>
        <v>0</v>
      </c>
      <c r="H260" s="1">
        <f t="shared" si="15"/>
        <v>0</v>
      </c>
      <c r="I260" s="1">
        <f t="shared" si="15"/>
        <v>0</v>
      </c>
      <c r="J260" s="1">
        <f t="shared" si="15"/>
        <v>0</v>
      </c>
      <c r="K260" s="1">
        <f t="shared" si="15"/>
        <v>0</v>
      </c>
      <c r="M260" s="17" t="s">
        <v>2</v>
      </c>
      <c r="N260" s="17" t="s">
        <v>3</v>
      </c>
    </row>
    <row r="261" spans="1:16" ht="15">
      <c r="C261" s="64"/>
      <c r="D261" s="1">
        <f>COUNT(D226:D258)*5</f>
        <v>0</v>
      </c>
      <c r="E261" s="1">
        <f t="shared" ref="E261:K261" si="16">COUNT(E226:E258)*5</f>
        <v>0</v>
      </c>
      <c r="F261" s="1">
        <f t="shared" si="16"/>
        <v>0</v>
      </c>
      <c r="G261" s="1">
        <f t="shared" si="16"/>
        <v>0</v>
      </c>
      <c r="H261" s="1">
        <f t="shared" si="16"/>
        <v>0</v>
      </c>
      <c r="I261" s="1">
        <f t="shared" si="16"/>
        <v>0</v>
      </c>
      <c r="J261" s="1">
        <f t="shared" si="16"/>
        <v>0</v>
      </c>
      <c r="K261" s="1">
        <f t="shared" si="16"/>
        <v>0</v>
      </c>
      <c r="M261" s="18" t="e">
        <f>(D262+F262+H262+J262)/4</f>
        <v>#DIV/0!</v>
      </c>
      <c r="N261" s="18" t="e">
        <f>(E262+G262+I262+K262)/4</f>
        <v>#DIV/0!</v>
      </c>
    </row>
    <row r="262" spans="1:16" ht="15">
      <c r="C262" s="2" t="s">
        <v>45</v>
      </c>
      <c r="D262" s="11" t="e">
        <f>D260/D261</f>
        <v>#DIV/0!</v>
      </c>
      <c r="E262" s="11" t="e">
        <f t="shared" ref="E262:K262" si="17">E260/E261</f>
        <v>#DIV/0!</v>
      </c>
      <c r="F262" s="11" t="e">
        <f t="shared" si="17"/>
        <v>#DIV/0!</v>
      </c>
      <c r="G262" s="11" t="e">
        <f t="shared" si="17"/>
        <v>#DIV/0!</v>
      </c>
      <c r="H262" s="11" t="e">
        <f t="shared" si="17"/>
        <v>#DIV/0!</v>
      </c>
      <c r="I262" s="11" t="e">
        <f t="shared" si="17"/>
        <v>#DIV/0!</v>
      </c>
      <c r="J262" s="11" t="e">
        <f t="shared" si="17"/>
        <v>#DIV/0!</v>
      </c>
      <c r="K262" s="11" t="e">
        <f t="shared" si="17"/>
        <v>#DIV/0!</v>
      </c>
      <c r="L262" s="4"/>
      <c r="M262" s="4"/>
      <c r="N262" s="4"/>
      <c r="O262" s="4"/>
      <c r="P262" s="4"/>
    </row>
    <row r="263" spans="1:16" s="22" customFormat="1"/>
    <row r="264" spans="1:16" ht="18">
      <c r="B264" s="16" t="s">
        <v>51</v>
      </c>
      <c r="C264" s="23" t="s">
        <v>6</v>
      </c>
      <c r="D264" s="75" t="s">
        <v>7</v>
      </c>
      <c r="E264" s="76"/>
      <c r="F264" s="75" t="s">
        <v>8</v>
      </c>
      <c r="G264" s="76"/>
      <c r="H264" s="75" t="s">
        <v>9</v>
      </c>
      <c r="I264" s="76"/>
      <c r="J264" s="75" t="s">
        <v>10</v>
      </c>
      <c r="K264" s="76"/>
    </row>
    <row r="265" spans="1:16" s="1" customFormat="1" ht="15">
      <c r="A265" s="77" t="s">
        <v>11</v>
      </c>
      <c r="B265" s="77" t="s">
        <v>12</v>
      </c>
      <c r="C265" s="6" t="s">
        <v>13</v>
      </c>
      <c r="D265" s="29"/>
      <c r="E265" s="29"/>
      <c r="F265" s="29"/>
      <c r="G265" s="29"/>
      <c r="H265" s="29"/>
      <c r="I265" s="29"/>
      <c r="J265" s="29"/>
      <c r="K265" s="29"/>
      <c r="L265" s="80" t="s">
        <v>14</v>
      </c>
      <c r="M265" s="81"/>
      <c r="N265" s="81"/>
      <c r="O265" s="81"/>
      <c r="P265" s="81"/>
    </row>
    <row r="266" spans="1:16" s="1" customFormat="1" ht="15">
      <c r="A266" s="78"/>
      <c r="B266" s="78"/>
      <c r="C266" s="6"/>
      <c r="D266" s="7" t="s">
        <v>2</v>
      </c>
      <c r="E266" s="7" t="s">
        <v>15</v>
      </c>
      <c r="F266" s="7" t="s">
        <v>2</v>
      </c>
      <c r="G266" s="7" t="s">
        <v>15</v>
      </c>
      <c r="H266" s="7" t="s">
        <v>2</v>
      </c>
      <c r="I266" s="7" t="s">
        <v>15</v>
      </c>
      <c r="J266" s="7" t="s">
        <v>2</v>
      </c>
      <c r="K266" s="7" t="s">
        <v>15</v>
      </c>
      <c r="L266" s="80"/>
      <c r="M266" s="81"/>
      <c r="N266" s="81"/>
      <c r="O266" s="81"/>
      <c r="P266" s="81"/>
    </row>
    <row r="267" spans="1:16" s="1" customFormat="1" ht="15">
      <c r="A267" s="79"/>
      <c r="B267" s="79"/>
      <c r="C267" s="6" t="s">
        <v>16</v>
      </c>
      <c r="D267" s="6"/>
      <c r="E267" s="6"/>
      <c r="F267" s="6"/>
      <c r="G267" s="6"/>
      <c r="H267" s="6"/>
      <c r="I267" s="6"/>
      <c r="J267" s="6"/>
      <c r="K267" s="6"/>
      <c r="L267" s="80"/>
      <c r="M267" s="81"/>
      <c r="N267" s="81"/>
      <c r="O267" s="81"/>
      <c r="P267" s="81"/>
    </row>
    <row r="268" spans="1:16" ht="15">
      <c r="A268" s="82">
        <v>1</v>
      </c>
      <c r="B268" s="84" t="s">
        <v>17</v>
      </c>
      <c r="C268" s="85"/>
      <c r="D268" s="8"/>
      <c r="E268" s="8"/>
      <c r="F268" s="8"/>
      <c r="G268" s="8"/>
      <c r="H268" s="8"/>
      <c r="I268" s="8"/>
      <c r="J268" s="8"/>
      <c r="K268" s="8"/>
      <c r="L268" s="86"/>
      <c r="M268" s="86"/>
      <c r="N268" s="86"/>
      <c r="O268" s="86"/>
      <c r="P268" s="86"/>
    </row>
    <row r="269" spans="1:16" ht="15">
      <c r="A269" s="83"/>
      <c r="B269" s="87" t="s">
        <v>18</v>
      </c>
      <c r="C269" s="88"/>
      <c r="D269" s="9"/>
      <c r="E269" s="9"/>
      <c r="F269" s="9"/>
      <c r="G269" s="9"/>
      <c r="H269" s="9"/>
      <c r="I269" s="9"/>
      <c r="J269" s="9"/>
      <c r="K269" s="9"/>
      <c r="L269" s="86"/>
      <c r="M269" s="86"/>
      <c r="N269" s="86"/>
      <c r="O269" s="86"/>
      <c r="P269" s="86"/>
    </row>
    <row r="270" spans="1:16" ht="15">
      <c r="A270" s="72">
        <v>2</v>
      </c>
      <c r="B270" s="73" t="s">
        <v>19</v>
      </c>
      <c r="C270" s="73"/>
      <c r="D270" s="8"/>
      <c r="E270" s="8"/>
      <c r="F270" s="8"/>
      <c r="G270" s="8"/>
      <c r="H270" s="8"/>
      <c r="I270" s="8"/>
      <c r="J270" s="8"/>
      <c r="K270" s="8"/>
      <c r="L270" s="86"/>
      <c r="M270" s="86"/>
      <c r="N270" s="86"/>
      <c r="O270" s="86"/>
      <c r="P270" s="86"/>
    </row>
    <row r="271" spans="1:16" ht="15">
      <c r="A271" s="72"/>
      <c r="B271" s="70" t="s">
        <v>18</v>
      </c>
      <c r="C271" s="70"/>
      <c r="D271" s="9"/>
      <c r="E271" s="9"/>
      <c r="F271" s="9"/>
      <c r="G271" s="9"/>
      <c r="H271" s="9"/>
      <c r="I271" s="9"/>
      <c r="J271" s="9"/>
      <c r="K271" s="9"/>
      <c r="L271" s="86"/>
      <c r="M271" s="86"/>
      <c r="N271" s="86"/>
      <c r="O271" s="86"/>
      <c r="P271" s="86"/>
    </row>
    <row r="272" spans="1:16" ht="15">
      <c r="A272" s="72">
        <v>3</v>
      </c>
      <c r="B272" s="73" t="s">
        <v>20</v>
      </c>
      <c r="C272" s="73"/>
      <c r="D272" s="10"/>
      <c r="E272" s="10"/>
      <c r="F272" s="10"/>
      <c r="G272" s="10"/>
      <c r="H272" s="10"/>
      <c r="I272" s="10"/>
      <c r="J272" s="10"/>
      <c r="K272" s="10"/>
      <c r="L272" s="86"/>
      <c r="M272" s="86"/>
      <c r="N272" s="86"/>
      <c r="O272" s="86"/>
      <c r="P272" s="86"/>
    </row>
    <row r="273" spans="1:16" ht="15" customHeight="1">
      <c r="A273" s="72"/>
      <c r="B273" s="74" t="s">
        <v>21</v>
      </c>
      <c r="C273" s="74"/>
      <c r="D273" s="8"/>
      <c r="E273" s="8"/>
      <c r="F273" s="8"/>
      <c r="G273" s="8"/>
      <c r="H273" s="8"/>
      <c r="I273" s="8"/>
      <c r="J273" s="8"/>
      <c r="K273" s="8"/>
      <c r="L273" s="86"/>
      <c r="M273" s="86"/>
      <c r="N273" s="86"/>
      <c r="O273" s="86"/>
      <c r="P273" s="86"/>
    </row>
    <row r="274" spans="1:16" ht="15" customHeight="1">
      <c r="A274" s="72"/>
      <c r="B274" s="74" t="s">
        <v>22</v>
      </c>
      <c r="C274" s="74"/>
      <c r="D274" s="8"/>
      <c r="E274" s="8"/>
      <c r="F274" s="8"/>
      <c r="G274" s="8"/>
      <c r="H274" s="8"/>
      <c r="I274" s="8"/>
      <c r="J274" s="8"/>
      <c r="K274" s="8"/>
      <c r="L274" s="86"/>
      <c r="M274" s="86"/>
      <c r="N274" s="86"/>
      <c r="O274" s="86"/>
      <c r="P274" s="86"/>
    </row>
    <row r="275" spans="1:16" ht="15" customHeight="1">
      <c r="A275" s="72"/>
      <c r="B275" s="74" t="s">
        <v>23</v>
      </c>
      <c r="C275" s="74"/>
      <c r="D275" s="8"/>
      <c r="E275" s="8"/>
      <c r="F275" s="8"/>
      <c r="G275" s="8"/>
      <c r="H275" s="8"/>
      <c r="I275" s="8"/>
      <c r="J275" s="8"/>
      <c r="K275" s="8"/>
      <c r="L275" s="86"/>
      <c r="M275" s="86"/>
      <c r="N275" s="86"/>
      <c r="O275" s="86"/>
      <c r="P275" s="86"/>
    </row>
    <row r="276" spans="1:16" ht="15">
      <c r="A276" s="72"/>
      <c r="B276" s="70" t="s">
        <v>18</v>
      </c>
      <c r="C276" s="70"/>
      <c r="D276" s="9"/>
      <c r="E276" s="9"/>
      <c r="F276" s="9"/>
      <c r="G276" s="9"/>
      <c r="H276" s="9"/>
      <c r="I276" s="9"/>
      <c r="J276" s="9"/>
      <c r="K276" s="9"/>
      <c r="L276" s="86"/>
      <c r="M276" s="86"/>
      <c r="N276" s="86"/>
      <c r="O276" s="86"/>
      <c r="P276" s="86"/>
    </row>
    <row r="277" spans="1:16" ht="15">
      <c r="A277" s="72">
        <v>4</v>
      </c>
      <c r="B277" s="73" t="s">
        <v>24</v>
      </c>
      <c r="C277" s="73"/>
      <c r="D277" s="10"/>
      <c r="E277" s="10"/>
      <c r="F277" s="10"/>
      <c r="G277" s="10"/>
      <c r="H277" s="10"/>
      <c r="I277" s="10"/>
      <c r="J277" s="10"/>
      <c r="K277" s="10"/>
      <c r="L277" s="86"/>
      <c r="M277" s="86"/>
      <c r="N277" s="86"/>
      <c r="O277" s="86"/>
      <c r="P277" s="86"/>
    </row>
    <row r="278" spans="1:16" ht="15" customHeight="1">
      <c r="A278" s="72"/>
      <c r="B278" s="74" t="s">
        <v>25</v>
      </c>
      <c r="C278" s="74"/>
      <c r="D278" s="8"/>
      <c r="E278" s="8"/>
      <c r="F278" s="8"/>
      <c r="G278" s="8"/>
      <c r="H278" s="8"/>
      <c r="I278" s="8"/>
      <c r="J278" s="8"/>
      <c r="K278" s="8"/>
      <c r="L278" s="86"/>
      <c r="M278" s="86"/>
      <c r="N278" s="86"/>
      <c r="O278" s="86"/>
      <c r="P278" s="86"/>
    </row>
    <row r="279" spans="1:16" ht="15" customHeight="1">
      <c r="A279" s="72"/>
      <c r="B279" s="74" t="s">
        <v>26</v>
      </c>
      <c r="C279" s="74"/>
      <c r="D279" s="8"/>
      <c r="E279" s="8"/>
      <c r="F279" s="8"/>
      <c r="G279" s="8"/>
      <c r="H279" s="8"/>
      <c r="I279" s="8"/>
      <c r="J279" s="8"/>
      <c r="K279" s="8"/>
      <c r="L279" s="86"/>
      <c r="M279" s="86"/>
      <c r="N279" s="86"/>
      <c r="O279" s="86"/>
      <c r="P279" s="86"/>
    </row>
    <row r="280" spans="1:16" ht="15">
      <c r="A280" s="72"/>
      <c r="B280" s="70" t="s">
        <v>18</v>
      </c>
      <c r="C280" s="70"/>
      <c r="D280" s="9"/>
      <c r="E280" s="9"/>
      <c r="F280" s="9"/>
      <c r="G280" s="9"/>
      <c r="H280" s="9"/>
      <c r="I280" s="9"/>
      <c r="J280" s="9"/>
      <c r="K280" s="9"/>
      <c r="L280" s="86"/>
      <c r="M280" s="86"/>
      <c r="N280" s="86"/>
      <c r="O280" s="86"/>
      <c r="P280" s="86"/>
    </row>
    <row r="281" spans="1:16" ht="15">
      <c r="A281" s="72">
        <v>5</v>
      </c>
      <c r="B281" s="73" t="s">
        <v>27</v>
      </c>
      <c r="C281" s="73"/>
      <c r="D281" s="8"/>
      <c r="E281" s="8"/>
      <c r="F281" s="8"/>
      <c r="G281" s="8"/>
      <c r="H281" s="8"/>
      <c r="I281" s="8"/>
      <c r="J281" s="8"/>
      <c r="K281" s="8"/>
      <c r="L281" s="86"/>
      <c r="M281" s="86"/>
      <c r="N281" s="86"/>
      <c r="O281" s="86"/>
      <c r="P281" s="86"/>
    </row>
    <row r="282" spans="1:16" ht="15">
      <c r="A282" s="72"/>
      <c r="B282" s="70" t="s">
        <v>18</v>
      </c>
      <c r="C282" s="70"/>
      <c r="D282" s="9"/>
      <c r="E282" s="9"/>
      <c r="F282" s="9"/>
      <c r="G282" s="9"/>
      <c r="H282" s="9"/>
      <c r="I282" s="9"/>
      <c r="J282" s="9"/>
      <c r="K282" s="9"/>
      <c r="L282" s="86"/>
      <c r="M282" s="86"/>
      <c r="N282" s="86"/>
      <c r="O282" s="86"/>
      <c r="P282" s="86"/>
    </row>
    <row r="283" spans="1:16" ht="15">
      <c r="A283" s="72">
        <v>6</v>
      </c>
      <c r="B283" s="73" t="s">
        <v>28</v>
      </c>
      <c r="C283" s="73"/>
      <c r="D283" s="10"/>
      <c r="E283" s="10"/>
      <c r="F283" s="10"/>
      <c r="G283" s="10"/>
      <c r="H283" s="10"/>
      <c r="I283" s="10"/>
      <c r="J283" s="10"/>
      <c r="K283" s="10"/>
      <c r="L283" s="86"/>
      <c r="M283" s="86"/>
      <c r="N283" s="86"/>
      <c r="O283" s="86"/>
      <c r="P283" s="86"/>
    </row>
    <row r="284" spans="1:16" ht="15" customHeight="1">
      <c r="A284" s="72"/>
      <c r="B284" s="74" t="s">
        <v>29</v>
      </c>
      <c r="C284" s="74"/>
      <c r="D284" s="8"/>
      <c r="E284" s="8"/>
      <c r="F284" s="8"/>
      <c r="G284" s="8"/>
      <c r="H284" s="8"/>
      <c r="I284" s="8"/>
      <c r="J284" s="8"/>
      <c r="K284" s="8"/>
      <c r="L284" s="86"/>
      <c r="M284" s="86"/>
      <c r="N284" s="86"/>
      <c r="O284" s="86"/>
      <c r="P284" s="86"/>
    </row>
    <row r="285" spans="1:16" ht="15" customHeight="1">
      <c r="A285" s="72"/>
      <c r="B285" s="74" t="s">
        <v>30</v>
      </c>
      <c r="C285" s="74"/>
      <c r="D285" s="8"/>
      <c r="E285" s="8"/>
      <c r="F285" s="8"/>
      <c r="G285" s="8"/>
      <c r="H285" s="8"/>
      <c r="I285" s="8"/>
      <c r="J285" s="8"/>
      <c r="K285" s="8"/>
      <c r="L285" s="86"/>
      <c r="M285" s="86"/>
      <c r="N285" s="86"/>
      <c r="O285" s="86"/>
      <c r="P285" s="86"/>
    </row>
    <row r="286" spans="1:16" ht="15" customHeight="1">
      <c r="A286" s="72"/>
      <c r="B286" s="74" t="s">
        <v>31</v>
      </c>
      <c r="C286" s="74"/>
      <c r="D286" s="8"/>
      <c r="E286" s="8"/>
      <c r="F286" s="8"/>
      <c r="G286" s="8"/>
      <c r="H286" s="8"/>
      <c r="I286" s="8"/>
      <c r="J286" s="8"/>
      <c r="K286" s="8"/>
      <c r="L286" s="86"/>
      <c r="M286" s="86"/>
      <c r="N286" s="86"/>
      <c r="O286" s="86"/>
      <c r="P286" s="86"/>
    </row>
    <row r="287" spans="1:16" ht="15" customHeight="1">
      <c r="A287" s="72"/>
      <c r="B287" s="74" t="s">
        <v>32</v>
      </c>
      <c r="C287" s="74"/>
      <c r="D287" s="8"/>
      <c r="E287" s="8"/>
      <c r="F287" s="8"/>
      <c r="G287" s="8"/>
      <c r="H287" s="8"/>
      <c r="I287" s="8"/>
      <c r="J287" s="8"/>
      <c r="K287" s="8"/>
      <c r="L287" s="86"/>
      <c r="M287" s="86"/>
      <c r="N287" s="86"/>
      <c r="O287" s="86"/>
      <c r="P287" s="86"/>
    </row>
    <row r="288" spans="1:16" ht="15" customHeight="1">
      <c r="A288" s="72"/>
      <c r="B288" s="74" t="s">
        <v>33</v>
      </c>
      <c r="C288" s="74"/>
      <c r="D288" s="8"/>
      <c r="E288" s="8"/>
      <c r="F288" s="8"/>
      <c r="G288" s="8"/>
      <c r="H288" s="8"/>
      <c r="I288" s="8"/>
      <c r="J288" s="8"/>
      <c r="K288" s="8"/>
      <c r="L288" s="86"/>
      <c r="M288" s="86"/>
      <c r="N288" s="86"/>
      <c r="O288" s="86"/>
      <c r="P288" s="86"/>
    </row>
    <row r="289" spans="1:16" ht="15">
      <c r="A289" s="72"/>
      <c r="B289" s="70" t="s">
        <v>18</v>
      </c>
      <c r="C289" s="70"/>
      <c r="D289" s="9"/>
      <c r="E289" s="9"/>
      <c r="F289" s="9"/>
      <c r="G289" s="9"/>
      <c r="H289" s="9"/>
      <c r="I289" s="9"/>
      <c r="J289" s="9"/>
      <c r="K289" s="9"/>
      <c r="L289" s="86"/>
      <c r="M289" s="86"/>
      <c r="N289" s="86"/>
      <c r="O289" s="86"/>
      <c r="P289" s="86"/>
    </row>
    <row r="290" spans="1:16" ht="15">
      <c r="A290" s="72">
        <v>7</v>
      </c>
      <c r="B290" s="73" t="s">
        <v>34</v>
      </c>
      <c r="C290" s="73"/>
      <c r="D290" s="10"/>
      <c r="E290" s="10"/>
      <c r="F290" s="10"/>
      <c r="G290" s="10"/>
      <c r="H290" s="10"/>
      <c r="I290" s="10"/>
      <c r="J290" s="10"/>
      <c r="K290" s="10"/>
      <c r="L290" s="86"/>
      <c r="M290" s="86"/>
      <c r="N290" s="86"/>
      <c r="O290" s="86"/>
      <c r="P290" s="86"/>
    </row>
    <row r="291" spans="1:16" ht="15" customHeight="1">
      <c r="A291" s="72"/>
      <c r="B291" s="74" t="s">
        <v>35</v>
      </c>
      <c r="C291" s="74"/>
      <c r="D291" s="8"/>
      <c r="E291" s="8"/>
      <c r="F291" s="8"/>
      <c r="G291" s="8"/>
      <c r="H291" s="8"/>
      <c r="I291" s="8"/>
      <c r="J291" s="8"/>
      <c r="K291" s="8"/>
      <c r="L291" s="86"/>
      <c r="M291" s="86"/>
      <c r="N291" s="86"/>
      <c r="O291" s="86"/>
      <c r="P291" s="86"/>
    </row>
    <row r="292" spans="1:16" ht="15" customHeight="1">
      <c r="A292" s="72"/>
      <c r="B292" s="74" t="s">
        <v>36</v>
      </c>
      <c r="C292" s="74"/>
      <c r="D292" s="8"/>
      <c r="E292" s="8"/>
      <c r="F292" s="8"/>
      <c r="G292" s="8"/>
      <c r="H292" s="8"/>
      <c r="I292" s="8"/>
      <c r="J292" s="8"/>
      <c r="K292" s="8"/>
      <c r="L292" s="86"/>
      <c r="M292" s="86"/>
      <c r="N292" s="86"/>
      <c r="O292" s="86"/>
      <c r="P292" s="86"/>
    </row>
    <row r="293" spans="1:16" ht="15" customHeight="1">
      <c r="A293" s="72"/>
      <c r="B293" s="74" t="s">
        <v>37</v>
      </c>
      <c r="C293" s="74"/>
      <c r="D293" s="8"/>
      <c r="E293" s="8"/>
      <c r="F293" s="8"/>
      <c r="G293" s="8"/>
      <c r="H293" s="8"/>
      <c r="I293" s="8"/>
      <c r="J293" s="8"/>
      <c r="K293" s="8"/>
      <c r="L293" s="86"/>
      <c r="M293" s="86"/>
      <c r="N293" s="86"/>
      <c r="O293" s="86"/>
      <c r="P293" s="86"/>
    </row>
    <row r="294" spans="1:16" ht="15" customHeight="1">
      <c r="A294" s="72"/>
      <c r="B294" s="74" t="s">
        <v>38</v>
      </c>
      <c r="C294" s="74"/>
      <c r="D294" s="8"/>
      <c r="E294" s="8"/>
      <c r="F294" s="8"/>
      <c r="G294" s="8"/>
      <c r="H294" s="8"/>
      <c r="I294" s="8"/>
      <c r="J294" s="8"/>
      <c r="K294" s="8"/>
      <c r="L294" s="86"/>
      <c r="M294" s="86"/>
      <c r="N294" s="86"/>
      <c r="O294" s="86"/>
      <c r="P294" s="86"/>
    </row>
    <row r="295" spans="1:16" ht="15" customHeight="1">
      <c r="A295" s="72"/>
      <c r="B295" s="74" t="s">
        <v>39</v>
      </c>
      <c r="C295" s="74"/>
      <c r="D295" s="8"/>
      <c r="E295" s="8"/>
      <c r="F295" s="8"/>
      <c r="G295" s="8"/>
      <c r="H295" s="8"/>
      <c r="I295" s="8"/>
      <c r="J295" s="8"/>
      <c r="K295" s="8"/>
      <c r="L295" s="86"/>
      <c r="M295" s="86"/>
      <c r="N295" s="86"/>
      <c r="O295" s="86"/>
      <c r="P295" s="86"/>
    </row>
    <row r="296" spans="1:16" ht="15" customHeight="1">
      <c r="A296" s="72"/>
      <c r="B296" s="74" t="s">
        <v>40</v>
      </c>
      <c r="C296" s="74"/>
      <c r="D296" s="8"/>
      <c r="E296" s="8"/>
      <c r="F296" s="8"/>
      <c r="G296" s="8"/>
      <c r="H296" s="8"/>
      <c r="I296" s="8"/>
      <c r="J296" s="8"/>
      <c r="K296" s="8"/>
      <c r="L296" s="86"/>
      <c r="M296" s="86"/>
      <c r="N296" s="86"/>
      <c r="O296" s="86"/>
      <c r="P296" s="86"/>
    </row>
    <row r="297" spans="1:16" ht="15" customHeight="1">
      <c r="A297" s="72"/>
      <c r="B297" s="74" t="s">
        <v>41</v>
      </c>
      <c r="C297" s="74"/>
      <c r="D297" s="8"/>
      <c r="E297" s="8"/>
      <c r="F297" s="8"/>
      <c r="G297" s="8"/>
      <c r="H297" s="8"/>
      <c r="I297" s="8"/>
      <c r="J297" s="8"/>
      <c r="K297" s="8"/>
      <c r="L297" s="86"/>
      <c r="M297" s="86"/>
      <c r="N297" s="86"/>
      <c r="O297" s="86"/>
      <c r="P297" s="86"/>
    </row>
    <row r="298" spans="1:16" ht="15" customHeight="1">
      <c r="A298" s="72"/>
      <c r="B298" s="74" t="s">
        <v>42</v>
      </c>
      <c r="C298" s="74"/>
      <c r="D298" s="8"/>
      <c r="E298" s="8"/>
      <c r="F298" s="8"/>
      <c r="G298" s="8"/>
      <c r="H298" s="8"/>
      <c r="I298" s="8"/>
      <c r="J298" s="8"/>
      <c r="K298" s="8"/>
      <c r="L298" s="86"/>
      <c r="M298" s="86"/>
      <c r="N298" s="86"/>
      <c r="O298" s="86"/>
      <c r="P298" s="86"/>
    </row>
    <row r="299" spans="1:16" ht="15" customHeight="1">
      <c r="A299" s="72"/>
      <c r="B299" s="68" t="s">
        <v>43</v>
      </c>
      <c r="C299" s="69"/>
      <c r="D299" s="8"/>
      <c r="E299" s="8"/>
      <c r="F299" s="8"/>
      <c r="G299" s="8"/>
      <c r="H299" s="8"/>
      <c r="I299" s="8"/>
      <c r="J299" s="8"/>
      <c r="K299" s="8"/>
      <c r="L299" s="86"/>
      <c r="M299" s="86"/>
      <c r="N299" s="86"/>
      <c r="O299" s="86"/>
      <c r="P299" s="86"/>
    </row>
    <row r="300" spans="1:16" ht="15">
      <c r="A300" s="72"/>
      <c r="B300" s="70" t="s">
        <v>18</v>
      </c>
      <c r="C300" s="70"/>
      <c r="D300" s="9"/>
      <c r="E300" s="9"/>
      <c r="F300" s="9"/>
      <c r="G300" s="9"/>
      <c r="H300" s="9"/>
      <c r="I300" s="9"/>
      <c r="J300" s="9"/>
      <c r="K300" s="9"/>
      <c r="L300" s="86"/>
      <c r="M300" s="86"/>
      <c r="N300" s="86"/>
      <c r="O300" s="86"/>
      <c r="P300" s="86"/>
    </row>
    <row r="302" spans="1:16" ht="15">
      <c r="B302" s="71" t="s">
        <v>44</v>
      </c>
      <c r="C302" s="71"/>
      <c r="D302" s="1">
        <f>SUM(D268:D299)</f>
        <v>0</v>
      </c>
      <c r="E302" s="1">
        <f t="shared" ref="E302:K302" si="18">SUM(E268:E299)</f>
        <v>0</v>
      </c>
      <c r="F302" s="1">
        <f t="shared" si="18"/>
        <v>0</v>
      </c>
      <c r="G302" s="1">
        <f t="shared" si="18"/>
        <v>0</v>
      </c>
      <c r="H302" s="1">
        <f t="shared" si="18"/>
        <v>0</v>
      </c>
      <c r="I302" s="1">
        <f t="shared" si="18"/>
        <v>0</v>
      </c>
      <c r="J302" s="1">
        <f t="shared" si="18"/>
        <v>0</v>
      </c>
      <c r="K302" s="1">
        <f t="shared" si="18"/>
        <v>0</v>
      </c>
      <c r="M302" s="17" t="s">
        <v>2</v>
      </c>
      <c r="N302" s="17" t="s">
        <v>3</v>
      </c>
    </row>
    <row r="303" spans="1:16" ht="15">
      <c r="C303" s="64"/>
      <c r="D303" s="1">
        <f>COUNT(D268:D300)*5</f>
        <v>0</v>
      </c>
      <c r="E303" s="1">
        <f t="shared" ref="E303:K303" si="19">COUNT(E268:E300)*5</f>
        <v>0</v>
      </c>
      <c r="F303" s="1">
        <f t="shared" si="19"/>
        <v>0</v>
      </c>
      <c r="G303" s="1">
        <f t="shared" si="19"/>
        <v>0</v>
      </c>
      <c r="H303" s="1">
        <f t="shared" si="19"/>
        <v>0</v>
      </c>
      <c r="I303" s="1">
        <f t="shared" si="19"/>
        <v>0</v>
      </c>
      <c r="J303" s="1">
        <f t="shared" si="19"/>
        <v>0</v>
      </c>
      <c r="K303" s="1">
        <f t="shared" si="19"/>
        <v>0</v>
      </c>
      <c r="M303" s="18" t="e">
        <f>(D304+F304+H304+J304)/4</f>
        <v>#DIV/0!</v>
      </c>
      <c r="N303" s="18" t="e">
        <f>(E304+G304+I304+K304)/4</f>
        <v>#DIV/0!</v>
      </c>
    </row>
    <row r="304" spans="1:16" ht="15">
      <c r="C304" s="2" t="s">
        <v>45</v>
      </c>
      <c r="D304" s="11" t="e">
        <f>D302/D303</f>
        <v>#DIV/0!</v>
      </c>
      <c r="E304" s="11" t="e">
        <f t="shared" ref="E304:K304" si="20">E302/E303</f>
        <v>#DIV/0!</v>
      </c>
      <c r="F304" s="11" t="e">
        <f t="shared" si="20"/>
        <v>#DIV/0!</v>
      </c>
      <c r="G304" s="11" t="e">
        <f t="shared" si="20"/>
        <v>#DIV/0!</v>
      </c>
      <c r="H304" s="11" t="e">
        <f t="shared" si="20"/>
        <v>#DIV/0!</v>
      </c>
      <c r="I304" s="11" t="e">
        <f t="shared" si="20"/>
        <v>#DIV/0!</v>
      </c>
      <c r="J304" s="11" t="e">
        <f t="shared" si="20"/>
        <v>#DIV/0!</v>
      </c>
      <c r="K304" s="11" t="e">
        <f t="shared" si="20"/>
        <v>#DIV/0!</v>
      </c>
      <c r="L304" s="4"/>
      <c r="M304" s="4"/>
      <c r="N304" s="4"/>
      <c r="O304" s="4"/>
      <c r="P304" s="4"/>
    </row>
    <row r="305" spans="1:16" s="22" customFormat="1"/>
    <row r="306" spans="1:16" ht="18">
      <c r="B306" s="16" t="s">
        <v>52</v>
      </c>
      <c r="C306" s="23" t="s">
        <v>6</v>
      </c>
      <c r="D306" s="75" t="s">
        <v>7</v>
      </c>
      <c r="E306" s="76"/>
      <c r="F306" s="75" t="s">
        <v>8</v>
      </c>
      <c r="G306" s="76"/>
      <c r="H306" s="75" t="s">
        <v>9</v>
      </c>
      <c r="I306" s="76"/>
      <c r="J306" s="75" t="s">
        <v>10</v>
      </c>
      <c r="K306" s="76"/>
    </row>
    <row r="307" spans="1:16" s="1" customFormat="1" ht="15">
      <c r="A307" s="77" t="s">
        <v>11</v>
      </c>
      <c r="B307" s="77" t="s">
        <v>12</v>
      </c>
      <c r="C307" s="6" t="s">
        <v>13</v>
      </c>
      <c r="D307" s="29"/>
      <c r="E307" s="29"/>
      <c r="F307" s="29"/>
      <c r="G307" s="29"/>
      <c r="H307" s="29"/>
      <c r="I307" s="29"/>
      <c r="J307" s="29"/>
      <c r="K307" s="29"/>
      <c r="L307" s="80" t="s">
        <v>14</v>
      </c>
      <c r="M307" s="81"/>
      <c r="N307" s="81"/>
      <c r="O307" s="81"/>
      <c r="P307" s="81"/>
    </row>
    <row r="308" spans="1:16" s="1" customFormat="1" ht="15">
      <c r="A308" s="78"/>
      <c r="B308" s="78"/>
      <c r="C308" s="6"/>
      <c r="D308" s="7" t="s">
        <v>2</v>
      </c>
      <c r="E308" s="7" t="s">
        <v>15</v>
      </c>
      <c r="F308" s="7" t="s">
        <v>2</v>
      </c>
      <c r="G308" s="7" t="s">
        <v>15</v>
      </c>
      <c r="H308" s="7" t="s">
        <v>2</v>
      </c>
      <c r="I308" s="7" t="s">
        <v>15</v>
      </c>
      <c r="J308" s="7" t="s">
        <v>2</v>
      </c>
      <c r="K308" s="7" t="s">
        <v>15</v>
      </c>
      <c r="L308" s="80"/>
      <c r="M308" s="81"/>
      <c r="N308" s="81"/>
      <c r="O308" s="81"/>
      <c r="P308" s="81"/>
    </row>
    <row r="309" spans="1:16" s="1" customFormat="1" ht="15">
      <c r="A309" s="79"/>
      <c r="B309" s="79"/>
      <c r="C309" s="6" t="s">
        <v>16</v>
      </c>
      <c r="D309" s="6"/>
      <c r="E309" s="6"/>
      <c r="F309" s="6"/>
      <c r="G309" s="6"/>
      <c r="H309" s="6"/>
      <c r="I309" s="6"/>
      <c r="J309" s="6"/>
      <c r="K309" s="6"/>
      <c r="L309" s="80"/>
      <c r="M309" s="81"/>
      <c r="N309" s="81"/>
      <c r="O309" s="81"/>
      <c r="P309" s="81"/>
    </row>
    <row r="310" spans="1:16" ht="15">
      <c r="A310" s="82">
        <v>1</v>
      </c>
      <c r="B310" s="84" t="s">
        <v>17</v>
      </c>
      <c r="C310" s="85"/>
      <c r="D310" s="8"/>
      <c r="E310" s="8"/>
      <c r="F310" s="8"/>
      <c r="G310" s="8"/>
      <c r="H310" s="8"/>
      <c r="I310" s="8"/>
      <c r="J310" s="8"/>
      <c r="K310" s="8"/>
      <c r="L310" s="86"/>
      <c r="M310" s="86"/>
      <c r="N310" s="86"/>
      <c r="O310" s="86"/>
      <c r="P310" s="86"/>
    </row>
    <row r="311" spans="1:16" ht="15">
      <c r="A311" s="83"/>
      <c r="B311" s="87" t="s">
        <v>18</v>
      </c>
      <c r="C311" s="88"/>
      <c r="D311" s="9"/>
      <c r="E311" s="9"/>
      <c r="F311" s="9"/>
      <c r="G311" s="9"/>
      <c r="H311" s="9"/>
      <c r="I311" s="9"/>
      <c r="J311" s="9"/>
      <c r="K311" s="9"/>
      <c r="L311" s="86"/>
      <c r="M311" s="86"/>
      <c r="N311" s="86"/>
      <c r="O311" s="86"/>
      <c r="P311" s="86"/>
    </row>
    <row r="312" spans="1:16" ht="15">
      <c r="A312" s="72">
        <v>2</v>
      </c>
      <c r="B312" s="73" t="s">
        <v>19</v>
      </c>
      <c r="C312" s="73"/>
      <c r="D312" s="8"/>
      <c r="E312" s="8"/>
      <c r="F312" s="8"/>
      <c r="G312" s="8"/>
      <c r="H312" s="8"/>
      <c r="I312" s="8"/>
      <c r="J312" s="8"/>
      <c r="K312" s="8"/>
      <c r="L312" s="86"/>
      <c r="M312" s="86"/>
      <c r="N312" s="86"/>
      <c r="O312" s="86"/>
      <c r="P312" s="86"/>
    </row>
    <row r="313" spans="1:16" ht="15">
      <c r="A313" s="72"/>
      <c r="B313" s="70" t="s">
        <v>18</v>
      </c>
      <c r="C313" s="70"/>
      <c r="D313" s="9"/>
      <c r="E313" s="9"/>
      <c r="F313" s="9"/>
      <c r="G313" s="9"/>
      <c r="H313" s="9"/>
      <c r="I313" s="9"/>
      <c r="J313" s="9"/>
      <c r="K313" s="9"/>
      <c r="L313" s="86"/>
      <c r="M313" s="86"/>
      <c r="N313" s="86"/>
      <c r="O313" s="86"/>
      <c r="P313" s="86"/>
    </row>
    <row r="314" spans="1:16" ht="15">
      <c r="A314" s="72">
        <v>3</v>
      </c>
      <c r="B314" s="73" t="s">
        <v>20</v>
      </c>
      <c r="C314" s="73"/>
      <c r="D314" s="10"/>
      <c r="E314" s="10"/>
      <c r="F314" s="10"/>
      <c r="G314" s="10"/>
      <c r="H314" s="10"/>
      <c r="I314" s="10"/>
      <c r="J314" s="10"/>
      <c r="K314" s="10"/>
      <c r="L314" s="86"/>
      <c r="M314" s="86"/>
      <c r="N314" s="86"/>
      <c r="O314" s="86"/>
      <c r="P314" s="86"/>
    </row>
    <row r="315" spans="1:16" ht="15" customHeight="1">
      <c r="A315" s="72"/>
      <c r="B315" s="74" t="s">
        <v>21</v>
      </c>
      <c r="C315" s="74"/>
      <c r="D315" s="8"/>
      <c r="E315" s="8"/>
      <c r="F315" s="8"/>
      <c r="G315" s="8"/>
      <c r="H315" s="8"/>
      <c r="I315" s="8"/>
      <c r="J315" s="8"/>
      <c r="K315" s="8"/>
      <c r="L315" s="86"/>
      <c r="M315" s="86"/>
      <c r="N315" s="86"/>
      <c r="O315" s="86"/>
      <c r="P315" s="86"/>
    </row>
    <row r="316" spans="1:16" ht="15" customHeight="1">
      <c r="A316" s="72"/>
      <c r="B316" s="74" t="s">
        <v>22</v>
      </c>
      <c r="C316" s="74"/>
      <c r="D316" s="8"/>
      <c r="E316" s="8"/>
      <c r="F316" s="8"/>
      <c r="G316" s="8"/>
      <c r="H316" s="8"/>
      <c r="I316" s="8"/>
      <c r="J316" s="8"/>
      <c r="K316" s="8"/>
      <c r="L316" s="86"/>
      <c r="M316" s="86"/>
      <c r="N316" s="86"/>
      <c r="O316" s="86"/>
      <c r="P316" s="86"/>
    </row>
    <row r="317" spans="1:16" ht="15" customHeight="1">
      <c r="A317" s="72"/>
      <c r="B317" s="74" t="s">
        <v>23</v>
      </c>
      <c r="C317" s="74"/>
      <c r="D317" s="8"/>
      <c r="E317" s="8"/>
      <c r="F317" s="8"/>
      <c r="G317" s="8"/>
      <c r="H317" s="8"/>
      <c r="I317" s="8"/>
      <c r="J317" s="8"/>
      <c r="K317" s="8"/>
      <c r="L317" s="86"/>
      <c r="M317" s="86"/>
      <c r="N317" s="86"/>
      <c r="O317" s="86"/>
      <c r="P317" s="86"/>
    </row>
    <row r="318" spans="1:16" ht="15">
      <c r="A318" s="72"/>
      <c r="B318" s="70" t="s">
        <v>18</v>
      </c>
      <c r="C318" s="70"/>
      <c r="D318" s="9"/>
      <c r="E318" s="9"/>
      <c r="F318" s="9"/>
      <c r="G318" s="9"/>
      <c r="H318" s="9"/>
      <c r="I318" s="9"/>
      <c r="J318" s="9"/>
      <c r="K318" s="9"/>
      <c r="L318" s="86"/>
      <c r="M318" s="86"/>
      <c r="N318" s="86"/>
      <c r="O318" s="86"/>
      <c r="P318" s="86"/>
    </row>
    <row r="319" spans="1:16" ht="15">
      <c r="A319" s="72">
        <v>4</v>
      </c>
      <c r="B319" s="73" t="s">
        <v>24</v>
      </c>
      <c r="C319" s="73"/>
      <c r="D319" s="10"/>
      <c r="E319" s="10"/>
      <c r="F319" s="10"/>
      <c r="G319" s="10"/>
      <c r="H319" s="10"/>
      <c r="I319" s="10"/>
      <c r="J319" s="10"/>
      <c r="K319" s="10"/>
      <c r="L319" s="86"/>
      <c r="M319" s="86"/>
      <c r="N319" s="86"/>
      <c r="O319" s="86"/>
      <c r="P319" s="86"/>
    </row>
    <row r="320" spans="1:16" ht="15" customHeight="1">
      <c r="A320" s="72"/>
      <c r="B320" s="74" t="s">
        <v>25</v>
      </c>
      <c r="C320" s="74"/>
      <c r="D320" s="8"/>
      <c r="E320" s="8"/>
      <c r="F320" s="8"/>
      <c r="G320" s="8"/>
      <c r="H320" s="8"/>
      <c r="I320" s="8"/>
      <c r="J320" s="8"/>
      <c r="K320" s="8"/>
      <c r="L320" s="86"/>
      <c r="M320" s="86"/>
      <c r="N320" s="86"/>
      <c r="O320" s="86"/>
      <c r="P320" s="86"/>
    </row>
    <row r="321" spans="1:16" ht="15" customHeight="1">
      <c r="A321" s="72"/>
      <c r="B321" s="74" t="s">
        <v>26</v>
      </c>
      <c r="C321" s="74"/>
      <c r="D321" s="8"/>
      <c r="E321" s="8"/>
      <c r="F321" s="8"/>
      <c r="G321" s="8"/>
      <c r="H321" s="8"/>
      <c r="I321" s="8"/>
      <c r="J321" s="8"/>
      <c r="K321" s="8"/>
      <c r="L321" s="86"/>
      <c r="M321" s="86"/>
      <c r="N321" s="86"/>
      <c r="O321" s="86"/>
      <c r="P321" s="86"/>
    </row>
    <row r="322" spans="1:16" ht="15">
      <c r="A322" s="72"/>
      <c r="B322" s="70" t="s">
        <v>18</v>
      </c>
      <c r="C322" s="70"/>
      <c r="D322" s="9"/>
      <c r="E322" s="9"/>
      <c r="F322" s="9"/>
      <c r="G322" s="9"/>
      <c r="H322" s="9"/>
      <c r="I322" s="9"/>
      <c r="J322" s="9"/>
      <c r="K322" s="9"/>
      <c r="L322" s="86"/>
      <c r="M322" s="86"/>
      <c r="N322" s="86"/>
      <c r="O322" s="86"/>
      <c r="P322" s="86"/>
    </row>
    <row r="323" spans="1:16" ht="15">
      <c r="A323" s="72">
        <v>5</v>
      </c>
      <c r="B323" s="73" t="s">
        <v>27</v>
      </c>
      <c r="C323" s="73"/>
      <c r="D323" s="8"/>
      <c r="E323" s="8"/>
      <c r="F323" s="8"/>
      <c r="G323" s="8"/>
      <c r="H323" s="8"/>
      <c r="I323" s="8"/>
      <c r="J323" s="8"/>
      <c r="K323" s="8"/>
      <c r="L323" s="86"/>
      <c r="M323" s="86"/>
      <c r="N323" s="86"/>
      <c r="O323" s="86"/>
      <c r="P323" s="86"/>
    </row>
    <row r="324" spans="1:16" ht="15">
      <c r="A324" s="72"/>
      <c r="B324" s="70" t="s">
        <v>18</v>
      </c>
      <c r="C324" s="70"/>
      <c r="D324" s="9"/>
      <c r="E324" s="9"/>
      <c r="F324" s="9"/>
      <c r="G324" s="9"/>
      <c r="H324" s="9"/>
      <c r="I324" s="9"/>
      <c r="J324" s="9"/>
      <c r="K324" s="9"/>
      <c r="L324" s="86"/>
      <c r="M324" s="86"/>
      <c r="N324" s="86"/>
      <c r="O324" s="86"/>
      <c r="P324" s="86"/>
    </row>
    <row r="325" spans="1:16" ht="15">
      <c r="A325" s="72">
        <v>6</v>
      </c>
      <c r="B325" s="73" t="s">
        <v>28</v>
      </c>
      <c r="C325" s="73"/>
      <c r="D325" s="10"/>
      <c r="E325" s="10"/>
      <c r="F325" s="10"/>
      <c r="G325" s="10"/>
      <c r="H325" s="10"/>
      <c r="I325" s="10"/>
      <c r="J325" s="10"/>
      <c r="K325" s="10"/>
      <c r="L325" s="86"/>
      <c r="M325" s="86"/>
      <c r="N325" s="86"/>
      <c r="O325" s="86"/>
      <c r="P325" s="86"/>
    </row>
    <row r="326" spans="1:16" ht="15" customHeight="1">
      <c r="A326" s="72"/>
      <c r="B326" s="74" t="s">
        <v>29</v>
      </c>
      <c r="C326" s="74"/>
      <c r="D326" s="8"/>
      <c r="E326" s="8"/>
      <c r="F326" s="8"/>
      <c r="G326" s="8"/>
      <c r="H326" s="8"/>
      <c r="I326" s="8"/>
      <c r="J326" s="8"/>
      <c r="K326" s="8"/>
      <c r="L326" s="86"/>
      <c r="M326" s="86"/>
      <c r="N326" s="86"/>
      <c r="O326" s="86"/>
      <c r="P326" s="86"/>
    </row>
    <row r="327" spans="1:16" ht="15" customHeight="1">
      <c r="A327" s="72"/>
      <c r="B327" s="74" t="s">
        <v>30</v>
      </c>
      <c r="C327" s="74"/>
      <c r="D327" s="8"/>
      <c r="E327" s="8"/>
      <c r="F327" s="8"/>
      <c r="G327" s="8"/>
      <c r="H327" s="8"/>
      <c r="I327" s="8"/>
      <c r="J327" s="8"/>
      <c r="K327" s="8"/>
      <c r="L327" s="86"/>
      <c r="M327" s="86"/>
      <c r="N327" s="86"/>
      <c r="O327" s="86"/>
      <c r="P327" s="86"/>
    </row>
    <row r="328" spans="1:16" ht="15" customHeight="1">
      <c r="A328" s="72"/>
      <c r="B328" s="74" t="s">
        <v>31</v>
      </c>
      <c r="C328" s="74"/>
      <c r="D328" s="8"/>
      <c r="E328" s="8"/>
      <c r="F328" s="8"/>
      <c r="G328" s="8"/>
      <c r="H328" s="8"/>
      <c r="I328" s="8"/>
      <c r="J328" s="8"/>
      <c r="K328" s="8"/>
      <c r="L328" s="86"/>
      <c r="M328" s="86"/>
      <c r="N328" s="86"/>
      <c r="O328" s="86"/>
      <c r="P328" s="86"/>
    </row>
    <row r="329" spans="1:16" ht="15" customHeight="1">
      <c r="A329" s="72"/>
      <c r="B329" s="74" t="s">
        <v>32</v>
      </c>
      <c r="C329" s="74"/>
      <c r="D329" s="8"/>
      <c r="E329" s="8"/>
      <c r="F329" s="8"/>
      <c r="G329" s="8"/>
      <c r="H329" s="8"/>
      <c r="I329" s="8"/>
      <c r="J329" s="8"/>
      <c r="K329" s="8"/>
      <c r="L329" s="86"/>
      <c r="M329" s="86"/>
      <c r="N329" s="86"/>
      <c r="O329" s="86"/>
      <c r="P329" s="86"/>
    </row>
    <row r="330" spans="1:16" ht="15" customHeight="1">
      <c r="A330" s="72"/>
      <c r="B330" s="74" t="s">
        <v>33</v>
      </c>
      <c r="C330" s="74"/>
      <c r="D330" s="8"/>
      <c r="E330" s="8"/>
      <c r="F330" s="8"/>
      <c r="G330" s="8"/>
      <c r="H330" s="8"/>
      <c r="I330" s="8"/>
      <c r="J330" s="8"/>
      <c r="K330" s="8"/>
      <c r="L330" s="86"/>
      <c r="M330" s="86"/>
      <c r="N330" s="86"/>
      <c r="O330" s="86"/>
      <c r="P330" s="86"/>
    </row>
    <row r="331" spans="1:16" ht="15">
      <c r="A331" s="72"/>
      <c r="B331" s="70" t="s">
        <v>18</v>
      </c>
      <c r="C331" s="70"/>
      <c r="D331" s="9"/>
      <c r="E331" s="9"/>
      <c r="F331" s="9"/>
      <c r="G331" s="9"/>
      <c r="H331" s="9"/>
      <c r="I331" s="9"/>
      <c r="J331" s="9"/>
      <c r="K331" s="9"/>
      <c r="L331" s="86"/>
      <c r="M331" s="86"/>
      <c r="N331" s="86"/>
      <c r="O331" s="86"/>
      <c r="P331" s="86"/>
    </row>
    <row r="332" spans="1:16" ht="15">
      <c r="A332" s="72">
        <v>7</v>
      </c>
      <c r="B332" s="73" t="s">
        <v>34</v>
      </c>
      <c r="C332" s="73"/>
      <c r="D332" s="10"/>
      <c r="E332" s="10"/>
      <c r="F332" s="10"/>
      <c r="G332" s="10"/>
      <c r="H332" s="10"/>
      <c r="I332" s="10"/>
      <c r="J332" s="10"/>
      <c r="K332" s="10"/>
      <c r="L332" s="86"/>
      <c r="M332" s="86"/>
      <c r="N332" s="86"/>
      <c r="O332" s="86"/>
      <c r="P332" s="86"/>
    </row>
    <row r="333" spans="1:16" ht="15" customHeight="1">
      <c r="A333" s="72"/>
      <c r="B333" s="74" t="s">
        <v>35</v>
      </c>
      <c r="C333" s="74"/>
      <c r="D333" s="8"/>
      <c r="E333" s="8"/>
      <c r="F333" s="8"/>
      <c r="G333" s="8"/>
      <c r="H333" s="8"/>
      <c r="I333" s="8"/>
      <c r="J333" s="8"/>
      <c r="K333" s="8"/>
      <c r="L333" s="86"/>
      <c r="M333" s="86"/>
      <c r="N333" s="86"/>
      <c r="O333" s="86"/>
      <c r="P333" s="86"/>
    </row>
    <row r="334" spans="1:16" ht="15" customHeight="1">
      <c r="A334" s="72"/>
      <c r="B334" s="74" t="s">
        <v>36</v>
      </c>
      <c r="C334" s="74"/>
      <c r="D334" s="8"/>
      <c r="E334" s="8"/>
      <c r="F334" s="8"/>
      <c r="G334" s="8"/>
      <c r="H334" s="8"/>
      <c r="I334" s="8"/>
      <c r="J334" s="8"/>
      <c r="K334" s="8"/>
      <c r="L334" s="86"/>
      <c r="M334" s="86"/>
      <c r="N334" s="86"/>
      <c r="O334" s="86"/>
      <c r="P334" s="86"/>
    </row>
    <row r="335" spans="1:16" ht="15" customHeight="1">
      <c r="A335" s="72"/>
      <c r="B335" s="74" t="s">
        <v>37</v>
      </c>
      <c r="C335" s="74"/>
      <c r="D335" s="8"/>
      <c r="E335" s="8"/>
      <c r="F335" s="8"/>
      <c r="G335" s="8"/>
      <c r="H335" s="8"/>
      <c r="I335" s="8"/>
      <c r="J335" s="8"/>
      <c r="K335" s="8"/>
      <c r="L335" s="86"/>
      <c r="M335" s="86"/>
      <c r="N335" s="86"/>
      <c r="O335" s="86"/>
      <c r="P335" s="86"/>
    </row>
    <row r="336" spans="1:16" ht="15" customHeight="1">
      <c r="A336" s="72"/>
      <c r="B336" s="74" t="s">
        <v>38</v>
      </c>
      <c r="C336" s="74"/>
      <c r="D336" s="8"/>
      <c r="E336" s="8"/>
      <c r="F336" s="8"/>
      <c r="G336" s="8"/>
      <c r="H336" s="8"/>
      <c r="I336" s="8"/>
      <c r="J336" s="8"/>
      <c r="K336" s="8"/>
      <c r="L336" s="86"/>
      <c r="M336" s="86"/>
      <c r="N336" s="86"/>
      <c r="O336" s="86"/>
      <c r="P336" s="86"/>
    </row>
    <row r="337" spans="1:16" ht="15" customHeight="1">
      <c r="A337" s="72"/>
      <c r="B337" s="74" t="s">
        <v>39</v>
      </c>
      <c r="C337" s="74"/>
      <c r="D337" s="8"/>
      <c r="E337" s="8"/>
      <c r="F337" s="8"/>
      <c r="G337" s="8"/>
      <c r="H337" s="8"/>
      <c r="I337" s="8"/>
      <c r="J337" s="8"/>
      <c r="K337" s="8"/>
      <c r="L337" s="86"/>
      <c r="M337" s="86"/>
      <c r="N337" s="86"/>
      <c r="O337" s="86"/>
      <c r="P337" s="86"/>
    </row>
    <row r="338" spans="1:16" ht="15" customHeight="1">
      <c r="A338" s="72"/>
      <c r="B338" s="74" t="s">
        <v>40</v>
      </c>
      <c r="C338" s="74"/>
      <c r="D338" s="8"/>
      <c r="E338" s="8"/>
      <c r="F338" s="8"/>
      <c r="G338" s="8"/>
      <c r="H338" s="8"/>
      <c r="I338" s="8"/>
      <c r="J338" s="8"/>
      <c r="K338" s="8"/>
      <c r="L338" s="86"/>
      <c r="M338" s="86"/>
      <c r="N338" s="86"/>
      <c r="O338" s="86"/>
      <c r="P338" s="86"/>
    </row>
    <row r="339" spans="1:16" ht="15" customHeight="1">
      <c r="A339" s="72"/>
      <c r="B339" s="74" t="s">
        <v>41</v>
      </c>
      <c r="C339" s="74"/>
      <c r="D339" s="8"/>
      <c r="E339" s="8"/>
      <c r="F339" s="8"/>
      <c r="G339" s="8"/>
      <c r="H339" s="8"/>
      <c r="I339" s="8"/>
      <c r="J339" s="8"/>
      <c r="K339" s="8"/>
      <c r="L339" s="86"/>
      <c r="M339" s="86"/>
      <c r="N339" s="86"/>
      <c r="O339" s="86"/>
      <c r="P339" s="86"/>
    </row>
    <row r="340" spans="1:16" ht="15" customHeight="1">
      <c r="A340" s="72"/>
      <c r="B340" s="74" t="s">
        <v>42</v>
      </c>
      <c r="C340" s="74"/>
      <c r="D340" s="8"/>
      <c r="E340" s="8"/>
      <c r="F340" s="8"/>
      <c r="G340" s="8"/>
      <c r="H340" s="8"/>
      <c r="I340" s="8"/>
      <c r="J340" s="8"/>
      <c r="K340" s="8"/>
      <c r="L340" s="86"/>
      <c r="M340" s="86"/>
      <c r="N340" s="86"/>
      <c r="O340" s="86"/>
      <c r="P340" s="86"/>
    </row>
    <row r="341" spans="1:16" ht="15" customHeight="1">
      <c r="A341" s="72"/>
      <c r="B341" s="68" t="s">
        <v>43</v>
      </c>
      <c r="C341" s="69"/>
      <c r="D341" s="8"/>
      <c r="E341" s="8"/>
      <c r="F341" s="8"/>
      <c r="G341" s="8"/>
      <c r="H341" s="8"/>
      <c r="I341" s="8"/>
      <c r="J341" s="8"/>
      <c r="K341" s="8"/>
      <c r="L341" s="86"/>
      <c r="M341" s="86"/>
      <c r="N341" s="86"/>
      <c r="O341" s="86"/>
      <c r="P341" s="86"/>
    </row>
    <row r="342" spans="1:16" ht="15">
      <c r="A342" s="72"/>
      <c r="B342" s="70" t="s">
        <v>18</v>
      </c>
      <c r="C342" s="70"/>
      <c r="D342" s="9"/>
      <c r="E342" s="9"/>
      <c r="F342" s="9"/>
      <c r="G342" s="9"/>
      <c r="H342" s="9"/>
      <c r="I342" s="9"/>
      <c r="J342" s="9"/>
      <c r="K342" s="9"/>
      <c r="L342" s="86"/>
      <c r="M342" s="86"/>
      <c r="N342" s="86"/>
      <c r="O342" s="86"/>
      <c r="P342" s="86"/>
    </row>
    <row r="344" spans="1:16" ht="15">
      <c r="B344" s="71" t="s">
        <v>44</v>
      </c>
      <c r="C344" s="71"/>
      <c r="D344" s="1">
        <f>SUM(D310:D341)</f>
        <v>0</v>
      </c>
      <c r="E344" s="1">
        <f t="shared" ref="E344:K344" si="21">SUM(E310:E341)</f>
        <v>0</v>
      </c>
      <c r="F344" s="1">
        <f t="shared" si="21"/>
        <v>0</v>
      </c>
      <c r="G344" s="1">
        <f t="shared" si="21"/>
        <v>0</v>
      </c>
      <c r="H344" s="1">
        <f t="shared" si="21"/>
        <v>0</v>
      </c>
      <c r="I344" s="1">
        <f t="shared" si="21"/>
        <v>0</v>
      </c>
      <c r="J344" s="1">
        <f t="shared" si="21"/>
        <v>0</v>
      </c>
      <c r="K344" s="1">
        <f t="shared" si="21"/>
        <v>0</v>
      </c>
      <c r="M344" s="17" t="s">
        <v>2</v>
      </c>
      <c r="N344" s="17" t="s">
        <v>3</v>
      </c>
    </row>
    <row r="345" spans="1:16" ht="15">
      <c r="C345" s="64"/>
      <c r="D345" s="1">
        <f>COUNT(D310:D342)*5</f>
        <v>0</v>
      </c>
      <c r="E345" s="1">
        <f t="shared" ref="E345:K345" si="22">COUNT(E310:E342)*5</f>
        <v>0</v>
      </c>
      <c r="F345" s="1">
        <f t="shared" si="22"/>
        <v>0</v>
      </c>
      <c r="G345" s="1">
        <f t="shared" si="22"/>
        <v>0</v>
      </c>
      <c r="H345" s="1">
        <f t="shared" si="22"/>
        <v>0</v>
      </c>
      <c r="I345" s="1">
        <f t="shared" si="22"/>
        <v>0</v>
      </c>
      <c r="J345" s="1">
        <f t="shared" si="22"/>
        <v>0</v>
      </c>
      <c r="K345" s="1">
        <f t="shared" si="22"/>
        <v>0</v>
      </c>
      <c r="M345" s="18" t="e">
        <f>(D346+F346+H346+J346)/4</f>
        <v>#DIV/0!</v>
      </c>
      <c r="N345" s="18" t="e">
        <f>(E346+G346+I346+K346)/4</f>
        <v>#DIV/0!</v>
      </c>
    </row>
    <row r="346" spans="1:16" ht="15">
      <c r="C346" s="2" t="s">
        <v>45</v>
      </c>
      <c r="D346" s="11" t="e">
        <f>D344/D345</f>
        <v>#DIV/0!</v>
      </c>
      <c r="E346" s="11" t="e">
        <f t="shared" ref="E346:K346" si="23">E344/E345</f>
        <v>#DIV/0!</v>
      </c>
      <c r="F346" s="11" t="e">
        <f t="shared" si="23"/>
        <v>#DIV/0!</v>
      </c>
      <c r="G346" s="11" t="e">
        <f t="shared" si="23"/>
        <v>#DIV/0!</v>
      </c>
      <c r="H346" s="11" t="e">
        <f t="shared" si="23"/>
        <v>#DIV/0!</v>
      </c>
      <c r="I346" s="11" t="e">
        <f t="shared" si="23"/>
        <v>#DIV/0!</v>
      </c>
      <c r="J346" s="11" t="e">
        <f t="shared" si="23"/>
        <v>#DIV/0!</v>
      </c>
      <c r="K346" s="11" t="e">
        <f t="shared" si="23"/>
        <v>#DIV/0!</v>
      </c>
      <c r="L346" s="4"/>
      <c r="M346" s="4"/>
      <c r="N346" s="4"/>
      <c r="O346" s="4"/>
      <c r="P346" s="4"/>
    </row>
    <row r="347" spans="1:16" s="22" customFormat="1"/>
    <row r="348" spans="1:16" ht="18">
      <c r="B348" s="16" t="s">
        <v>53</v>
      </c>
      <c r="C348" s="23" t="s">
        <v>6</v>
      </c>
      <c r="D348" s="75" t="s">
        <v>7</v>
      </c>
      <c r="E348" s="76"/>
      <c r="F348" s="75" t="s">
        <v>8</v>
      </c>
      <c r="G348" s="76"/>
      <c r="H348" s="75" t="s">
        <v>9</v>
      </c>
      <c r="I348" s="76"/>
      <c r="J348" s="75" t="s">
        <v>10</v>
      </c>
      <c r="K348" s="76"/>
    </row>
    <row r="349" spans="1:16" s="1" customFormat="1" ht="15">
      <c r="A349" s="77" t="s">
        <v>11</v>
      </c>
      <c r="B349" s="77" t="s">
        <v>12</v>
      </c>
      <c r="C349" s="6" t="s">
        <v>13</v>
      </c>
      <c r="D349" s="29"/>
      <c r="E349" s="29"/>
      <c r="F349" s="29"/>
      <c r="G349" s="29"/>
      <c r="H349" s="29"/>
      <c r="I349" s="29"/>
      <c r="J349" s="29"/>
      <c r="K349" s="29"/>
      <c r="L349" s="80" t="s">
        <v>14</v>
      </c>
      <c r="M349" s="81"/>
      <c r="N349" s="81"/>
      <c r="O349" s="81"/>
      <c r="P349" s="81"/>
    </row>
    <row r="350" spans="1:16" s="1" customFormat="1" ht="15">
      <c r="A350" s="78"/>
      <c r="B350" s="78"/>
      <c r="C350" s="6"/>
      <c r="D350" s="7" t="s">
        <v>2</v>
      </c>
      <c r="E350" s="7" t="s">
        <v>15</v>
      </c>
      <c r="F350" s="7" t="s">
        <v>2</v>
      </c>
      <c r="G350" s="7" t="s">
        <v>15</v>
      </c>
      <c r="H350" s="7" t="s">
        <v>2</v>
      </c>
      <c r="I350" s="7" t="s">
        <v>15</v>
      </c>
      <c r="J350" s="7" t="s">
        <v>2</v>
      </c>
      <c r="K350" s="7" t="s">
        <v>15</v>
      </c>
      <c r="L350" s="80"/>
      <c r="M350" s="81"/>
      <c r="N350" s="81"/>
      <c r="O350" s="81"/>
      <c r="P350" s="81"/>
    </row>
    <row r="351" spans="1:16" s="1" customFormat="1" ht="15">
      <c r="A351" s="79"/>
      <c r="B351" s="79"/>
      <c r="C351" s="6" t="s">
        <v>16</v>
      </c>
      <c r="D351" s="6"/>
      <c r="E351" s="6"/>
      <c r="F351" s="6"/>
      <c r="G351" s="6"/>
      <c r="H351" s="6"/>
      <c r="I351" s="6"/>
      <c r="J351" s="6"/>
      <c r="K351" s="6"/>
      <c r="L351" s="80"/>
      <c r="M351" s="81"/>
      <c r="N351" s="81"/>
      <c r="O351" s="81"/>
      <c r="P351" s="81"/>
    </row>
    <row r="352" spans="1:16" ht="15">
      <c r="A352" s="82">
        <v>1</v>
      </c>
      <c r="B352" s="84" t="s">
        <v>17</v>
      </c>
      <c r="C352" s="85"/>
      <c r="D352" s="8"/>
      <c r="E352" s="8"/>
      <c r="F352" s="8"/>
      <c r="G352" s="8"/>
      <c r="H352" s="8"/>
      <c r="I352" s="8"/>
      <c r="J352" s="8"/>
      <c r="K352" s="8"/>
      <c r="L352" s="86"/>
      <c r="M352" s="86"/>
      <c r="N352" s="86"/>
      <c r="O352" s="86"/>
      <c r="P352" s="86"/>
    </row>
    <row r="353" spans="1:16" ht="15">
      <c r="A353" s="83"/>
      <c r="B353" s="87" t="s">
        <v>18</v>
      </c>
      <c r="C353" s="88"/>
      <c r="D353" s="9"/>
      <c r="E353" s="9"/>
      <c r="F353" s="9"/>
      <c r="G353" s="9"/>
      <c r="H353" s="9"/>
      <c r="I353" s="9"/>
      <c r="J353" s="9"/>
      <c r="K353" s="9"/>
      <c r="L353" s="86"/>
      <c r="M353" s="86"/>
      <c r="N353" s="86"/>
      <c r="O353" s="86"/>
      <c r="P353" s="86"/>
    </row>
    <row r="354" spans="1:16" ht="15">
      <c r="A354" s="72">
        <v>2</v>
      </c>
      <c r="B354" s="73" t="s">
        <v>19</v>
      </c>
      <c r="C354" s="73"/>
      <c r="D354" s="8"/>
      <c r="E354" s="8"/>
      <c r="F354" s="8"/>
      <c r="G354" s="8"/>
      <c r="H354" s="8"/>
      <c r="I354" s="8"/>
      <c r="J354" s="8"/>
      <c r="K354" s="8"/>
      <c r="L354" s="86"/>
      <c r="M354" s="86"/>
      <c r="N354" s="86"/>
      <c r="O354" s="86"/>
      <c r="P354" s="86"/>
    </row>
    <row r="355" spans="1:16" ht="15">
      <c r="A355" s="72"/>
      <c r="B355" s="70" t="s">
        <v>18</v>
      </c>
      <c r="C355" s="70"/>
      <c r="D355" s="9"/>
      <c r="E355" s="9"/>
      <c r="F355" s="9"/>
      <c r="G355" s="9"/>
      <c r="H355" s="9"/>
      <c r="I355" s="9"/>
      <c r="J355" s="9"/>
      <c r="K355" s="9"/>
      <c r="L355" s="86"/>
      <c r="M355" s="86"/>
      <c r="N355" s="86"/>
      <c r="O355" s="86"/>
      <c r="P355" s="86"/>
    </row>
    <row r="356" spans="1:16" ht="15">
      <c r="A356" s="72">
        <v>3</v>
      </c>
      <c r="B356" s="73" t="s">
        <v>20</v>
      </c>
      <c r="C356" s="73"/>
      <c r="D356" s="10"/>
      <c r="E356" s="10"/>
      <c r="F356" s="10"/>
      <c r="G356" s="10"/>
      <c r="H356" s="10"/>
      <c r="I356" s="10"/>
      <c r="J356" s="10"/>
      <c r="K356" s="10"/>
      <c r="L356" s="86"/>
      <c r="M356" s="86"/>
      <c r="N356" s="86"/>
      <c r="O356" s="86"/>
      <c r="P356" s="86"/>
    </row>
    <row r="357" spans="1:16" ht="15" customHeight="1">
      <c r="A357" s="72"/>
      <c r="B357" s="74" t="s">
        <v>21</v>
      </c>
      <c r="C357" s="74"/>
      <c r="D357" s="8"/>
      <c r="E357" s="8"/>
      <c r="F357" s="8"/>
      <c r="G357" s="8"/>
      <c r="H357" s="8"/>
      <c r="I357" s="8"/>
      <c r="J357" s="8"/>
      <c r="K357" s="8"/>
      <c r="L357" s="86"/>
      <c r="M357" s="86"/>
      <c r="N357" s="86"/>
      <c r="O357" s="86"/>
      <c r="P357" s="86"/>
    </row>
    <row r="358" spans="1:16" ht="15" customHeight="1">
      <c r="A358" s="72"/>
      <c r="B358" s="74" t="s">
        <v>22</v>
      </c>
      <c r="C358" s="74"/>
      <c r="D358" s="8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23</v>
      </c>
      <c r="C359" s="74"/>
      <c r="D359" s="8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>
      <c r="A360" s="72"/>
      <c r="B360" s="70" t="s">
        <v>18</v>
      </c>
      <c r="C360" s="70"/>
      <c r="D360" s="9"/>
      <c r="E360" s="9"/>
      <c r="F360" s="9"/>
      <c r="G360" s="9"/>
      <c r="H360" s="9"/>
      <c r="I360" s="9"/>
      <c r="J360" s="9"/>
      <c r="K360" s="9"/>
      <c r="L360" s="86"/>
      <c r="M360" s="86"/>
      <c r="N360" s="86"/>
      <c r="O360" s="86"/>
      <c r="P360" s="86"/>
    </row>
    <row r="361" spans="1:16" ht="15">
      <c r="A361" s="72">
        <v>4</v>
      </c>
      <c r="B361" s="73" t="s">
        <v>24</v>
      </c>
      <c r="C361" s="73"/>
      <c r="D361" s="10"/>
      <c r="E361" s="10"/>
      <c r="F361" s="10"/>
      <c r="G361" s="10"/>
      <c r="H361" s="10"/>
      <c r="I361" s="10"/>
      <c r="J361" s="10"/>
      <c r="K361" s="10"/>
      <c r="L361" s="86"/>
      <c r="M361" s="86"/>
      <c r="N361" s="86"/>
      <c r="O361" s="86"/>
      <c r="P361" s="86"/>
    </row>
    <row r="362" spans="1:16" ht="15" customHeight="1">
      <c r="A362" s="72"/>
      <c r="B362" s="74" t="s">
        <v>25</v>
      </c>
      <c r="C362" s="74"/>
      <c r="D362" s="8"/>
      <c r="E362" s="8"/>
      <c r="F362" s="8"/>
      <c r="G362" s="8"/>
      <c r="H362" s="8"/>
      <c r="I362" s="8"/>
      <c r="J362" s="8"/>
      <c r="K362" s="8"/>
      <c r="L362" s="86"/>
      <c r="M362" s="86"/>
      <c r="N362" s="86"/>
      <c r="O362" s="86"/>
      <c r="P362" s="86"/>
    </row>
    <row r="363" spans="1:16" ht="15" customHeight="1">
      <c r="A363" s="72"/>
      <c r="B363" s="74" t="s">
        <v>26</v>
      </c>
      <c r="C363" s="74"/>
      <c r="D363" s="8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>
      <c r="A364" s="72"/>
      <c r="B364" s="70" t="s">
        <v>18</v>
      </c>
      <c r="C364" s="70"/>
      <c r="D364" s="9"/>
      <c r="E364" s="9"/>
      <c r="F364" s="9"/>
      <c r="G364" s="9"/>
      <c r="H364" s="9"/>
      <c r="I364" s="9"/>
      <c r="J364" s="9"/>
      <c r="K364" s="9"/>
      <c r="L364" s="86"/>
      <c r="M364" s="86"/>
      <c r="N364" s="86"/>
      <c r="O364" s="86"/>
      <c r="P364" s="86"/>
    </row>
    <row r="365" spans="1:16" ht="15">
      <c r="A365" s="72">
        <v>5</v>
      </c>
      <c r="B365" s="73" t="s">
        <v>27</v>
      </c>
      <c r="C365" s="73"/>
      <c r="D365" s="8"/>
      <c r="E365" s="8"/>
      <c r="F365" s="8"/>
      <c r="G365" s="8"/>
      <c r="H365" s="8"/>
      <c r="I365" s="8"/>
      <c r="J365" s="8"/>
      <c r="K365" s="8"/>
      <c r="L365" s="86"/>
      <c r="M365" s="86"/>
      <c r="N365" s="86"/>
      <c r="O365" s="86"/>
      <c r="P365" s="86"/>
    </row>
    <row r="366" spans="1:16" ht="15">
      <c r="A366" s="72"/>
      <c r="B366" s="70" t="s">
        <v>18</v>
      </c>
      <c r="C366" s="70"/>
      <c r="D366" s="9"/>
      <c r="E366" s="9"/>
      <c r="F366" s="9"/>
      <c r="G366" s="9"/>
      <c r="H366" s="9"/>
      <c r="I366" s="9"/>
      <c r="J366" s="9"/>
      <c r="K366" s="9"/>
      <c r="L366" s="86"/>
      <c r="M366" s="86"/>
      <c r="N366" s="86"/>
      <c r="O366" s="86"/>
      <c r="P366" s="86"/>
    </row>
    <row r="367" spans="1:16" ht="15">
      <c r="A367" s="72">
        <v>6</v>
      </c>
      <c r="B367" s="73" t="s">
        <v>28</v>
      </c>
      <c r="C367" s="73"/>
      <c r="D367" s="10"/>
      <c r="E367" s="10"/>
      <c r="F367" s="10"/>
      <c r="G367" s="10"/>
      <c r="H367" s="10"/>
      <c r="I367" s="10"/>
      <c r="J367" s="10"/>
      <c r="K367" s="10"/>
      <c r="L367" s="86"/>
      <c r="M367" s="86"/>
      <c r="N367" s="86"/>
      <c r="O367" s="86"/>
      <c r="P367" s="86"/>
    </row>
    <row r="368" spans="1:16" ht="15" customHeight="1">
      <c r="A368" s="72"/>
      <c r="B368" s="74" t="s">
        <v>29</v>
      </c>
      <c r="C368" s="74"/>
      <c r="D368" s="8"/>
      <c r="E368" s="8"/>
      <c r="F368" s="8"/>
      <c r="G368" s="8"/>
      <c r="H368" s="8"/>
      <c r="I368" s="8"/>
      <c r="J368" s="8"/>
      <c r="K368" s="8"/>
      <c r="L368" s="86"/>
      <c r="M368" s="86"/>
      <c r="N368" s="86"/>
      <c r="O368" s="86"/>
      <c r="P368" s="86"/>
    </row>
    <row r="369" spans="1:16" ht="15" customHeight="1">
      <c r="A369" s="72"/>
      <c r="B369" s="74" t="s">
        <v>30</v>
      </c>
      <c r="C369" s="74"/>
      <c r="D369" s="8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31</v>
      </c>
      <c r="C370" s="74"/>
      <c r="D370" s="8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32</v>
      </c>
      <c r="C371" s="74"/>
      <c r="D371" s="8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33</v>
      </c>
      <c r="C372" s="74"/>
      <c r="D372" s="8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>
      <c r="A373" s="72"/>
      <c r="B373" s="70" t="s">
        <v>18</v>
      </c>
      <c r="C373" s="70"/>
      <c r="D373" s="9"/>
      <c r="E373" s="9"/>
      <c r="F373" s="9"/>
      <c r="G373" s="9"/>
      <c r="H373" s="9"/>
      <c r="I373" s="9"/>
      <c r="J373" s="9"/>
      <c r="K373" s="9"/>
      <c r="L373" s="86"/>
      <c r="M373" s="86"/>
      <c r="N373" s="86"/>
      <c r="O373" s="86"/>
      <c r="P373" s="86"/>
    </row>
    <row r="374" spans="1:16" ht="15">
      <c r="A374" s="72">
        <v>7</v>
      </c>
      <c r="B374" s="73" t="s">
        <v>34</v>
      </c>
      <c r="C374" s="73"/>
      <c r="D374" s="10"/>
      <c r="E374" s="10"/>
      <c r="F374" s="10"/>
      <c r="G374" s="10"/>
      <c r="H374" s="10"/>
      <c r="I374" s="10"/>
      <c r="J374" s="10"/>
      <c r="K374" s="10"/>
      <c r="L374" s="86"/>
      <c r="M374" s="86"/>
      <c r="N374" s="86"/>
      <c r="O374" s="86"/>
      <c r="P374" s="86"/>
    </row>
    <row r="375" spans="1:16" ht="15" customHeight="1">
      <c r="A375" s="72"/>
      <c r="B375" s="74" t="s">
        <v>35</v>
      </c>
      <c r="C375" s="74"/>
      <c r="D375" s="8"/>
      <c r="E375" s="8"/>
      <c r="F375" s="8"/>
      <c r="G375" s="8"/>
      <c r="H375" s="8"/>
      <c r="I375" s="8"/>
      <c r="J375" s="8"/>
      <c r="K375" s="8"/>
      <c r="L375" s="86"/>
      <c r="M375" s="86"/>
      <c r="N375" s="86"/>
      <c r="O375" s="86"/>
      <c r="P375" s="86"/>
    </row>
    <row r="376" spans="1:16" ht="15" customHeight="1">
      <c r="A376" s="72"/>
      <c r="B376" s="74" t="s">
        <v>36</v>
      </c>
      <c r="C376" s="74"/>
      <c r="D376" s="8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37</v>
      </c>
      <c r="C377" s="74"/>
      <c r="D377" s="8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38</v>
      </c>
      <c r="C378" s="74"/>
      <c r="D378" s="8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39</v>
      </c>
      <c r="C379" s="74"/>
      <c r="D379" s="8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40</v>
      </c>
      <c r="C380" s="74"/>
      <c r="D380" s="8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41</v>
      </c>
      <c r="C381" s="74"/>
      <c r="D381" s="8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42</v>
      </c>
      <c r="C382" s="74"/>
      <c r="D382" s="8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68" t="s">
        <v>43</v>
      </c>
      <c r="C383" s="69"/>
      <c r="D383" s="8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>
      <c r="A384" s="72"/>
      <c r="B384" s="70" t="s">
        <v>18</v>
      </c>
      <c r="C384" s="70"/>
      <c r="D384" s="9"/>
      <c r="E384" s="9"/>
      <c r="F384" s="9"/>
      <c r="G384" s="9"/>
      <c r="H384" s="9"/>
      <c r="I384" s="9"/>
      <c r="J384" s="9"/>
      <c r="K384" s="9"/>
      <c r="L384" s="86"/>
      <c r="M384" s="86"/>
      <c r="N384" s="86"/>
      <c r="O384" s="86"/>
      <c r="P384" s="86"/>
    </row>
    <row r="386" spans="1:16" ht="15">
      <c r="B386" s="71" t="s">
        <v>44</v>
      </c>
      <c r="C386" s="71"/>
      <c r="D386" s="1">
        <f>SUM(D352:D383)</f>
        <v>0</v>
      </c>
      <c r="E386" s="1">
        <f t="shared" ref="E386:K386" si="24">SUM(E352:E383)</f>
        <v>0</v>
      </c>
      <c r="F386" s="1">
        <f t="shared" si="24"/>
        <v>0</v>
      </c>
      <c r="G386" s="1">
        <f t="shared" si="24"/>
        <v>0</v>
      </c>
      <c r="H386" s="1">
        <f t="shared" si="24"/>
        <v>0</v>
      </c>
      <c r="I386" s="1">
        <f t="shared" si="24"/>
        <v>0</v>
      </c>
      <c r="J386" s="1">
        <f t="shared" si="24"/>
        <v>0</v>
      </c>
      <c r="K386" s="1">
        <f t="shared" si="24"/>
        <v>0</v>
      </c>
      <c r="M386" s="17" t="s">
        <v>2</v>
      </c>
      <c r="N386" s="17" t="s">
        <v>3</v>
      </c>
    </row>
    <row r="387" spans="1:16" ht="15">
      <c r="C387" s="64"/>
      <c r="D387" s="1">
        <f>COUNT(D352:D384)*5</f>
        <v>0</v>
      </c>
      <c r="E387" s="1">
        <f t="shared" ref="E387:K387" si="25">COUNT(E352:E384)*5</f>
        <v>0</v>
      </c>
      <c r="F387" s="1">
        <f t="shared" si="25"/>
        <v>0</v>
      </c>
      <c r="G387" s="1">
        <f t="shared" si="25"/>
        <v>0</v>
      </c>
      <c r="H387" s="1">
        <f t="shared" si="25"/>
        <v>0</v>
      </c>
      <c r="I387" s="1">
        <f t="shared" si="25"/>
        <v>0</v>
      </c>
      <c r="J387" s="1">
        <f t="shared" si="25"/>
        <v>0</v>
      </c>
      <c r="K387" s="1">
        <f t="shared" si="25"/>
        <v>0</v>
      </c>
      <c r="M387" s="18" t="e">
        <f>(D388+F388+H388+J388)/4</f>
        <v>#DIV/0!</v>
      </c>
      <c r="N387" s="18" t="e">
        <f>(E388+G388+I388+K388)/4</f>
        <v>#DIV/0!</v>
      </c>
    </row>
    <row r="388" spans="1:16" ht="15">
      <c r="C388" s="2" t="s">
        <v>45</v>
      </c>
      <c r="D388" s="11" t="e">
        <f>D386/D387</f>
        <v>#DIV/0!</v>
      </c>
      <c r="E388" s="11" t="e">
        <f t="shared" ref="E388:K388" si="26">E386/E387</f>
        <v>#DIV/0!</v>
      </c>
      <c r="F388" s="11" t="e">
        <f t="shared" si="26"/>
        <v>#DIV/0!</v>
      </c>
      <c r="G388" s="11" t="e">
        <f t="shared" si="26"/>
        <v>#DIV/0!</v>
      </c>
      <c r="H388" s="11" t="e">
        <f t="shared" si="26"/>
        <v>#DIV/0!</v>
      </c>
      <c r="I388" s="11" t="e">
        <f t="shared" si="26"/>
        <v>#DIV/0!</v>
      </c>
      <c r="J388" s="11" t="e">
        <f t="shared" si="26"/>
        <v>#DIV/0!</v>
      </c>
      <c r="K388" s="11" t="e">
        <f t="shared" si="26"/>
        <v>#DIV/0!</v>
      </c>
      <c r="L388" s="4"/>
      <c r="M388" s="4"/>
      <c r="N388" s="4"/>
      <c r="O388" s="4"/>
      <c r="P388" s="4"/>
    </row>
    <row r="389" spans="1:16" s="22" customFormat="1"/>
    <row r="390" spans="1:16" ht="18">
      <c r="B390" s="16" t="s">
        <v>54</v>
      </c>
      <c r="C390" s="23" t="s">
        <v>6</v>
      </c>
      <c r="D390" s="75" t="s">
        <v>7</v>
      </c>
      <c r="E390" s="76"/>
      <c r="F390" s="75" t="s">
        <v>8</v>
      </c>
      <c r="G390" s="76"/>
      <c r="H390" s="75" t="s">
        <v>9</v>
      </c>
      <c r="I390" s="76"/>
      <c r="J390" s="75" t="s">
        <v>10</v>
      </c>
      <c r="K390" s="76"/>
    </row>
    <row r="391" spans="1:16" s="1" customFormat="1" ht="15">
      <c r="A391" s="77" t="s">
        <v>11</v>
      </c>
      <c r="B391" s="77" t="s">
        <v>12</v>
      </c>
      <c r="C391" s="6" t="s">
        <v>13</v>
      </c>
      <c r="D391" s="29"/>
      <c r="E391" s="29"/>
      <c r="F391" s="29"/>
      <c r="G391" s="29"/>
      <c r="H391" s="29"/>
      <c r="I391" s="29"/>
      <c r="J391" s="29"/>
      <c r="K391" s="29"/>
      <c r="L391" s="80" t="s">
        <v>14</v>
      </c>
      <c r="M391" s="81"/>
      <c r="N391" s="81"/>
      <c r="O391" s="81"/>
      <c r="P391" s="81"/>
    </row>
    <row r="392" spans="1:16" s="1" customFormat="1" ht="15">
      <c r="A392" s="78"/>
      <c r="B392" s="78"/>
      <c r="C392" s="6"/>
      <c r="D392" s="7" t="s">
        <v>2</v>
      </c>
      <c r="E392" s="7" t="s">
        <v>15</v>
      </c>
      <c r="F392" s="7" t="s">
        <v>2</v>
      </c>
      <c r="G392" s="7" t="s">
        <v>15</v>
      </c>
      <c r="H392" s="7" t="s">
        <v>2</v>
      </c>
      <c r="I392" s="7" t="s">
        <v>15</v>
      </c>
      <c r="J392" s="7" t="s">
        <v>2</v>
      </c>
      <c r="K392" s="7" t="s">
        <v>15</v>
      </c>
      <c r="L392" s="80"/>
      <c r="M392" s="81"/>
      <c r="N392" s="81"/>
      <c r="O392" s="81"/>
      <c r="P392" s="81"/>
    </row>
    <row r="393" spans="1:16" s="1" customFormat="1" ht="15">
      <c r="A393" s="79"/>
      <c r="B393" s="79"/>
      <c r="C393" s="6" t="s">
        <v>16</v>
      </c>
      <c r="D393" s="6"/>
      <c r="E393" s="6"/>
      <c r="F393" s="6"/>
      <c r="G393" s="6"/>
      <c r="H393" s="6"/>
      <c r="I393" s="6"/>
      <c r="J393" s="6"/>
      <c r="K393" s="6"/>
      <c r="L393" s="80"/>
      <c r="M393" s="81"/>
      <c r="N393" s="81"/>
      <c r="O393" s="81"/>
      <c r="P393" s="81"/>
    </row>
    <row r="394" spans="1:16" ht="15">
      <c r="A394" s="82">
        <v>1</v>
      </c>
      <c r="B394" s="84" t="s">
        <v>17</v>
      </c>
      <c r="C394" s="85"/>
      <c r="D394" s="8"/>
      <c r="E394" s="8"/>
      <c r="F394" s="8"/>
      <c r="G394" s="8"/>
      <c r="H394" s="8"/>
      <c r="I394" s="8"/>
      <c r="J394" s="8"/>
      <c r="K394" s="8"/>
      <c r="L394" s="86"/>
      <c r="M394" s="86"/>
      <c r="N394" s="86"/>
      <c r="O394" s="86"/>
      <c r="P394" s="86"/>
    </row>
    <row r="395" spans="1:16" ht="15">
      <c r="A395" s="83"/>
      <c r="B395" s="87" t="s">
        <v>18</v>
      </c>
      <c r="C395" s="88"/>
      <c r="D395" s="9"/>
      <c r="E395" s="9"/>
      <c r="F395" s="9"/>
      <c r="G395" s="9"/>
      <c r="H395" s="9"/>
      <c r="I395" s="9"/>
      <c r="J395" s="9"/>
      <c r="K395" s="9"/>
      <c r="L395" s="86"/>
      <c r="M395" s="86"/>
      <c r="N395" s="86"/>
      <c r="O395" s="86"/>
      <c r="P395" s="86"/>
    </row>
    <row r="396" spans="1:16" ht="15">
      <c r="A396" s="72">
        <v>2</v>
      </c>
      <c r="B396" s="73" t="s">
        <v>19</v>
      </c>
      <c r="C396" s="73"/>
      <c r="D396" s="8"/>
      <c r="E396" s="8"/>
      <c r="F396" s="8"/>
      <c r="G396" s="8"/>
      <c r="H396" s="8"/>
      <c r="I396" s="8"/>
      <c r="J396" s="8"/>
      <c r="K396" s="8"/>
      <c r="L396" s="86"/>
      <c r="M396" s="86"/>
      <c r="N396" s="86"/>
      <c r="O396" s="86"/>
      <c r="P396" s="86"/>
    </row>
    <row r="397" spans="1:16" ht="15">
      <c r="A397" s="72"/>
      <c r="B397" s="70" t="s">
        <v>18</v>
      </c>
      <c r="C397" s="70"/>
      <c r="D397" s="9"/>
      <c r="E397" s="9"/>
      <c r="F397" s="9"/>
      <c r="G397" s="9"/>
      <c r="H397" s="9"/>
      <c r="I397" s="9"/>
      <c r="J397" s="9"/>
      <c r="K397" s="9"/>
      <c r="L397" s="86"/>
      <c r="M397" s="86"/>
      <c r="N397" s="86"/>
      <c r="O397" s="86"/>
      <c r="P397" s="86"/>
    </row>
    <row r="398" spans="1:16" ht="15">
      <c r="A398" s="72">
        <v>3</v>
      </c>
      <c r="B398" s="73" t="s">
        <v>20</v>
      </c>
      <c r="C398" s="73"/>
      <c r="D398" s="10"/>
      <c r="E398" s="10"/>
      <c r="F398" s="10"/>
      <c r="G398" s="10"/>
      <c r="H398" s="10"/>
      <c r="I398" s="10"/>
      <c r="J398" s="10"/>
      <c r="K398" s="10"/>
      <c r="L398" s="86"/>
      <c r="M398" s="86"/>
      <c r="N398" s="86"/>
      <c r="O398" s="86"/>
      <c r="P398" s="86"/>
    </row>
    <row r="399" spans="1:16" ht="15" customHeight="1">
      <c r="A399" s="72"/>
      <c r="B399" s="74" t="s">
        <v>21</v>
      </c>
      <c r="C399" s="74"/>
      <c r="D399" s="8"/>
      <c r="E399" s="8"/>
      <c r="F399" s="8"/>
      <c r="G399" s="8"/>
      <c r="H399" s="8"/>
      <c r="I399" s="8"/>
      <c r="J399" s="8"/>
      <c r="K399" s="8"/>
      <c r="L399" s="86"/>
      <c r="M399" s="86"/>
      <c r="N399" s="86"/>
      <c r="O399" s="86"/>
      <c r="P399" s="86"/>
    </row>
    <row r="400" spans="1:16" ht="15" customHeight="1">
      <c r="A400" s="72"/>
      <c r="B400" s="74" t="s">
        <v>22</v>
      </c>
      <c r="C400" s="74"/>
      <c r="D400" s="8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23</v>
      </c>
      <c r="C401" s="74"/>
      <c r="D401" s="8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>
      <c r="A402" s="72"/>
      <c r="B402" s="70" t="s">
        <v>18</v>
      </c>
      <c r="C402" s="70"/>
      <c r="D402" s="9"/>
      <c r="E402" s="9"/>
      <c r="F402" s="9"/>
      <c r="G402" s="9"/>
      <c r="H402" s="9"/>
      <c r="I402" s="9"/>
      <c r="J402" s="9"/>
      <c r="K402" s="9"/>
      <c r="L402" s="86"/>
      <c r="M402" s="86"/>
      <c r="N402" s="86"/>
      <c r="O402" s="86"/>
      <c r="P402" s="86"/>
    </row>
    <row r="403" spans="1:16" ht="15">
      <c r="A403" s="72">
        <v>4</v>
      </c>
      <c r="B403" s="73" t="s">
        <v>24</v>
      </c>
      <c r="C403" s="73"/>
      <c r="D403" s="10"/>
      <c r="E403" s="10"/>
      <c r="F403" s="10"/>
      <c r="G403" s="10"/>
      <c r="H403" s="10"/>
      <c r="I403" s="10"/>
      <c r="J403" s="10"/>
      <c r="K403" s="10"/>
      <c r="L403" s="86"/>
      <c r="M403" s="86"/>
      <c r="N403" s="86"/>
      <c r="O403" s="86"/>
      <c r="P403" s="86"/>
    </row>
    <row r="404" spans="1:16" ht="15" customHeight="1">
      <c r="A404" s="72"/>
      <c r="B404" s="74" t="s">
        <v>25</v>
      </c>
      <c r="C404" s="74"/>
      <c r="D404" s="8"/>
      <c r="E404" s="8"/>
      <c r="F404" s="8"/>
      <c r="G404" s="8"/>
      <c r="H404" s="8"/>
      <c r="I404" s="8"/>
      <c r="J404" s="8"/>
      <c r="K404" s="8"/>
      <c r="L404" s="86"/>
      <c r="M404" s="86"/>
      <c r="N404" s="86"/>
      <c r="O404" s="86"/>
      <c r="P404" s="86"/>
    </row>
    <row r="405" spans="1:16" ht="15" customHeight="1">
      <c r="A405" s="72"/>
      <c r="B405" s="74" t="s">
        <v>26</v>
      </c>
      <c r="C405" s="74"/>
      <c r="D405" s="8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>
      <c r="A406" s="72"/>
      <c r="B406" s="70" t="s">
        <v>18</v>
      </c>
      <c r="C406" s="70"/>
      <c r="D406" s="9"/>
      <c r="E406" s="9"/>
      <c r="F406" s="9"/>
      <c r="G406" s="9"/>
      <c r="H406" s="9"/>
      <c r="I406" s="9"/>
      <c r="J406" s="9"/>
      <c r="K406" s="9"/>
      <c r="L406" s="86"/>
      <c r="M406" s="86"/>
      <c r="N406" s="86"/>
      <c r="O406" s="86"/>
      <c r="P406" s="86"/>
    </row>
    <row r="407" spans="1:16" ht="15">
      <c r="A407" s="72">
        <v>5</v>
      </c>
      <c r="B407" s="73" t="s">
        <v>27</v>
      </c>
      <c r="C407" s="73"/>
      <c r="D407" s="8"/>
      <c r="E407" s="8"/>
      <c r="F407" s="8"/>
      <c r="G407" s="8"/>
      <c r="H407" s="8"/>
      <c r="I407" s="8"/>
      <c r="J407" s="8"/>
      <c r="K407" s="8"/>
      <c r="L407" s="86"/>
      <c r="M407" s="86"/>
      <c r="N407" s="86"/>
      <c r="O407" s="86"/>
      <c r="P407" s="86"/>
    </row>
    <row r="408" spans="1:16" ht="15">
      <c r="A408" s="72"/>
      <c r="B408" s="70" t="s">
        <v>18</v>
      </c>
      <c r="C408" s="70"/>
      <c r="D408" s="9"/>
      <c r="E408" s="9"/>
      <c r="F408" s="9"/>
      <c r="G408" s="9"/>
      <c r="H408" s="9"/>
      <c r="I408" s="9"/>
      <c r="J408" s="9"/>
      <c r="K408" s="9"/>
      <c r="L408" s="86"/>
      <c r="M408" s="86"/>
      <c r="N408" s="86"/>
      <c r="O408" s="86"/>
      <c r="P408" s="86"/>
    </row>
    <row r="409" spans="1:16" ht="15">
      <c r="A409" s="72">
        <v>6</v>
      </c>
      <c r="B409" s="73" t="s">
        <v>28</v>
      </c>
      <c r="C409" s="73"/>
      <c r="D409" s="10"/>
      <c r="E409" s="10"/>
      <c r="F409" s="10"/>
      <c r="G409" s="10"/>
      <c r="H409" s="10"/>
      <c r="I409" s="10"/>
      <c r="J409" s="10"/>
      <c r="K409" s="10"/>
      <c r="L409" s="86"/>
      <c r="M409" s="86"/>
      <c r="N409" s="86"/>
      <c r="O409" s="86"/>
      <c r="P409" s="86"/>
    </row>
    <row r="410" spans="1:16" ht="15" customHeight="1">
      <c r="A410" s="72"/>
      <c r="B410" s="74" t="s">
        <v>29</v>
      </c>
      <c r="C410" s="74"/>
      <c r="D410" s="8"/>
      <c r="E410" s="8"/>
      <c r="F410" s="8"/>
      <c r="G410" s="8"/>
      <c r="H410" s="8"/>
      <c r="I410" s="8"/>
      <c r="J410" s="8"/>
      <c r="K410" s="8"/>
      <c r="L410" s="86"/>
      <c r="M410" s="86"/>
      <c r="N410" s="86"/>
      <c r="O410" s="86"/>
      <c r="P410" s="86"/>
    </row>
    <row r="411" spans="1:16" ht="15" customHeight="1">
      <c r="A411" s="72"/>
      <c r="B411" s="74" t="s">
        <v>30</v>
      </c>
      <c r="C411" s="74"/>
      <c r="D411" s="8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31</v>
      </c>
      <c r="C412" s="74"/>
      <c r="D412" s="8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32</v>
      </c>
      <c r="C413" s="74"/>
      <c r="D413" s="8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33</v>
      </c>
      <c r="C414" s="74"/>
      <c r="D414" s="8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>
      <c r="A415" s="72"/>
      <c r="B415" s="70" t="s">
        <v>18</v>
      </c>
      <c r="C415" s="70"/>
      <c r="D415" s="9"/>
      <c r="E415" s="9"/>
      <c r="F415" s="9"/>
      <c r="G415" s="9"/>
      <c r="H415" s="9"/>
      <c r="I415" s="9"/>
      <c r="J415" s="9"/>
      <c r="K415" s="9"/>
      <c r="L415" s="86"/>
      <c r="M415" s="86"/>
      <c r="N415" s="86"/>
      <c r="O415" s="86"/>
      <c r="P415" s="86"/>
    </row>
    <row r="416" spans="1:16" ht="15">
      <c r="A416" s="72">
        <v>7</v>
      </c>
      <c r="B416" s="73" t="s">
        <v>34</v>
      </c>
      <c r="C416" s="73"/>
      <c r="D416" s="10"/>
      <c r="E416" s="10"/>
      <c r="F416" s="10"/>
      <c r="G416" s="10"/>
      <c r="H416" s="10"/>
      <c r="I416" s="10"/>
      <c r="J416" s="10"/>
      <c r="K416" s="10"/>
      <c r="L416" s="86"/>
      <c r="M416" s="86"/>
      <c r="N416" s="86"/>
      <c r="O416" s="86"/>
      <c r="P416" s="86"/>
    </row>
    <row r="417" spans="1:16" ht="15" customHeight="1">
      <c r="A417" s="72"/>
      <c r="B417" s="74" t="s">
        <v>35</v>
      </c>
      <c r="C417" s="74"/>
      <c r="D417" s="8"/>
      <c r="E417" s="8"/>
      <c r="F417" s="8"/>
      <c r="G417" s="8"/>
      <c r="H417" s="8"/>
      <c r="I417" s="8"/>
      <c r="J417" s="8"/>
      <c r="K417" s="8"/>
      <c r="L417" s="86"/>
      <c r="M417" s="86"/>
      <c r="N417" s="86"/>
      <c r="O417" s="86"/>
      <c r="P417" s="86"/>
    </row>
    <row r="418" spans="1:16" ht="15" customHeight="1">
      <c r="A418" s="72"/>
      <c r="B418" s="74" t="s">
        <v>36</v>
      </c>
      <c r="C418" s="74"/>
      <c r="D418" s="8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37</v>
      </c>
      <c r="C419" s="74"/>
      <c r="D419" s="8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38</v>
      </c>
      <c r="C420" s="74"/>
      <c r="D420" s="8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39</v>
      </c>
      <c r="C421" s="74"/>
      <c r="D421" s="8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40</v>
      </c>
      <c r="C422" s="74"/>
      <c r="D422" s="8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41</v>
      </c>
      <c r="C423" s="74"/>
      <c r="D423" s="8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42</v>
      </c>
      <c r="C424" s="74"/>
      <c r="D424" s="8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68" t="s">
        <v>43</v>
      </c>
      <c r="C425" s="69"/>
      <c r="D425" s="8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>
      <c r="A426" s="72"/>
      <c r="B426" s="70" t="s">
        <v>18</v>
      </c>
      <c r="C426" s="70"/>
      <c r="D426" s="9"/>
      <c r="E426" s="9"/>
      <c r="F426" s="9"/>
      <c r="G426" s="9"/>
      <c r="H426" s="9"/>
      <c r="I426" s="9"/>
      <c r="J426" s="9"/>
      <c r="K426" s="9"/>
      <c r="L426" s="86"/>
      <c r="M426" s="86"/>
      <c r="N426" s="86"/>
      <c r="O426" s="86"/>
      <c r="P426" s="86"/>
    </row>
    <row r="428" spans="1:16" ht="15">
      <c r="B428" s="71" t="s">
        <v>44</v>
      </c>
      <c r="C428" s="71"/>
      <c r="D428" s="1">
        <f>SUM(D394:D425)</f>
        <v>0</v>
      </c>
      <c r="E428" s="1">
        <f t="shared" ref="E428:K428" si="27">SUM(E394:E425)</f>
        <v>0</v>
      </c>
      <c r="F428" s="1">
        <f t="shared" si="27"/>
        <v>0</v>
      </c>
      <c r="G428" s="1">
        <f t="shared" si="27"/>
        <v>0</v>
      </c>
      <c r="H428" s="1">
        <f t="shared" si="27"/>
        <v>0</v>
      </c>
      <c r="I428" s="1">
        <f t="shared" si="27"/>
        <v>0</v>
      </c>
      <c r="J428" s="1">
        <f t="shared" si="27"/>
        <v>0</v>
      </c>
      <c r="K428" s="1">
        <f t="shared" si="27"/>
        <v>0</v>
      </c>
      <c r="M428" s="17" t="s">
        <v>2</v>
      </c>
      <c r="N428" s="17" t="s">
        <v>3</v>
      </c>
    </row>
    <row r="429" spans="1:16" ht="15">
      <c r="C429" s="64"/>
      <c r="D429" s="1">
        <f>COUNT(D394:D426)*5</f>
        <v>0</v>
      </c>
      <c r="E429" s="1">
        <f t="shared" ref="E429:K429" si="28">COUNT(E394:E426)*5</f>
        <v>0</v>
      </c>
      <c r="F429" s="1">
        <f t="shared" si="28"/>
        <v>0</v>
      </c>
      <c r="G429" s="1">
        <f t="shared" si="28"/>
        <v>0</v>
      </c>
      <c r="H429" s="1">
        <f t="shared" si="28"/>
        <v>0</v>
      </c>
      <c r="I429" s="1">
        <f t="shared" si="28"/>
        <v>0</v>
      </c>
      <c r="J429" s="1">
        <f t="shared" si="28"/>
        <v>0</v>
      </c>
      <c r="K429" s="1">
        <f t="shared" si="28"/>
        <v>0</v>
      </c>
      <c r="M429" s="18" t="e">
        <f>(D430+F430+H430+J430)/4</f>
        <v>#DIV/0!</v>
      </c>
      <c r="N429" s="18" t="e">
        <f>(E430+G430+I430+K430)/4</f>
        <v>#DIV/0!</v>
      </c>
    </row>
    <row r="430" spans="1:16" ht="15">
      <c r="C430" s="2" t="s">
        <v>45</v>
      </c>
      <c r="D430" s="11" t="e">
        <f>D428/D429</f>
        <v>#DIV/0!</v>
      </c>
      <c r="E430" s="11" t="e">
        <f t="shared" ref="E430:K430" si="29">E428/E429</f>
        <v>#DIV/0!</v>
      </c>
      <c r="F430" s="11" t="e">
        <f t="shared" si="29"/>
        <v>#DIV/0!</v>
      </c>
      <c r="G430" s="11" t="e">
        <f t="shared" si="29"/>
        <v>#DIV/0!</v>
      </c>
      <c r="H430" s="11" t="e">
        <f t="shared" si="29"/>
        <v>#DIV/0!</v>
      </c>
      <c r="I430" s="11" t="e">
        <f t="shared" si="29"/>
        <v>#DIV/0!</v>
      </c>
      <c r="J430" s="11" t="e">
        <f t="shared" si="29"/>
        <v>#DIV/0!</v>
      </c>
      <c r="K430" s="11" t="e">
        <f t="shared" si="29"/>
        <v>#DIV/0!</v>
      </c>
      <c r="L430" s="4"/>
      <c r="M430" s="4"/>
      <c r="N430" s="4"/>
      <c r="O430" s="4"/>
      <c r="P430" s="4"/>
    </row>
    <row r="431" spans="1:16" s="22" customFormat="1"/>
    <row r="432" spans="1:16" ht="18">
      <c r="B432" s="16" t="s">
        <v>55</v>
      </c>
      <c r="C432" s="23" t="s">
        <v>6</v>
      </c>
      <c r="D432" s="75" t="s">
        <v>7</v>
      </c>
      <c r="E432" s="76"/>
      <c r="F432" s="75" t="s">
        <v>8</v>
      </c>
      <c r="G432" s="76"/>
      <c r="H432" s="75" t="s">
        <v>9</v>
      </c>
      <c r="I432" s="76"/>
      <c r="J432" s="75" t="s">
        <v>10</v>
      </c>
      <c r="K432" s="76"/>
    </row>
    <row r="433" spans="1:16" s="1" customFormat="1" ht="15">
      <c r="A433" s="77" t="s">
        <v>11</v>
      </c>
      <c r="B433" s="77" t="s">
        <v>12</v>
      </c>
      <c r="C433" s="6" t="s">
        <v>13</v>
      </c>
      <c r="D433" s="29"/>
      <c r="E433" s="29"/>
      <c r="F433" s="29"/>
      <c r="G433" s="29"/>
      <c r="H433" s="29"/>
      <c r="I433" s="29"/>
      <c r="J433" s="29"/>
      <c r="K433" s="29"/>
      <c r="L433" s="80" t="s">
        <v>14</v>
      </c>
      <c r="M433" s="81"/>
      <c r="N433" s="81"/>
      <c r="O433" s="81"/>
      <c r="P433" s="81"/>
    </row>
    <row r="434" spans="1:16" s="1" customFormat="1" ht="15">
      <c r="A434" s="78"/>
      <c r="B434" s="78"/>
      <c r="C434" s="6"/>
      <c r="D434" s="7" t="s">
        <v>2</v>
      </c>
      <c r="E434" s="7" t="s">
        <v>15</v>
      </c>
      <c r="F434" s="7" t="s">
        <v>2</v>
      </c>
      <c r="G434" s="7" t="s">
        <v>15</v>
      </c>
      <c r="H434" s="7" t="s">
        <v>2</v>
      </c>
      <c r="I434" s="7" t="s">
        <v>15</v>
      </c>
      <c r="J434" s="7" t="s">
        <v>2</v>
      </c>
      <c r="K434" s="7" t="s">
        <v>15</v>
      </c>
      <c r="L434" s="80"/>
      <c r="M434" s="81"/>
      <c r="N434" s="81"/>
      <c r="O434" s="81"/>
      <c r="P434" s="81"/>
    </row>
    <row r="435" spans="1:16" s="1" customFormat="1" ht="15">
      <c r="A435" s="79"/>
      <c r="B435" s="79"/>
      <c r="C435" s="6" t="s">
        <v>16</v>
      </c>
      <c r="D435" s="6"/>
      <c r="E435" s="6"/>
      <c r="F435" s="6"/>
      <c r="G435" s="6"/>
      <c r="H435" s="6"/>
      <c r="I435" s="6"/>
      <c r="J435" s="6"/>
      <c r="K435" s="6"/>
      <c r="L435" s="80"/>
      <c r="M435" s="81"/>
      <c r="N435" s="81"/>
      <c r="O435" s="81"/>
      <c r="P435" s="81"/>
    </row>
    <row r="436" spans="1:16" ht="15">
      <c r="A436" s="82">
        <v>1</v>
      </c>
      <c r="B436" s="84" t="s">
        <v>17</v>
      </c>
      <c r="C436" s="85"/>
      <c r="D436" s="8"/>
      <c r="E436" s="8"/>
      <c r="F436" s="8"/>
      <c r="G436" s="8"/>
      <c r="H436" s="8"/>
      <c r="I436" s="8"/>
      <c r="J436" s="8"/>
      <c r="K436" s="8"/>
      <c r="L436" s="86"/>
      <c r="M436" s="86"/>
      <c r="N436" s="86"/>
      <c r="O436" s="86"/>
      <c r="P436" s="86"/>
    </row>
    <row r="437" spans="1:16" ht="15">
      <c r="A437" s="83"/>
      <c r="B437" s="87" t="s">
        <v>18</v>
      </c>
      <c r="C437" s="88"/>
      <c r="D437" s="9"/>
      <c r="E437" s="9"/>
      <c r="F437" s="9"/>
      <c r="G437" s="9"/>
      <c r="H437" s="9"/>
      <c r="I437" s="9"/>
      <c r="J437" s="9"/>
      <c r="K437" s="9"/>
      <c r="L437" s="86"/>
      <c r="M437" s="86"/>
      <c r="N437" s="86"/>
      <c r="O437" s="86"/>
      <c r="P437" s="86"/>
    </row>
    <row r="438" spans="1:16" ht="15">
      <c r="A438" s="72">
        <v>2</v>
      </c>
      <c r="B438" s="73" t="s">
        <v>19</v>
      </c>
      <c r="C438" s="73"/>
      <c r="D438" s="8"/>
      <c r="E438" s="8"/>
      <c r="F438" s="8"/>
      <c r="G438" s="8"/>
      <c r="H438" s="8"/>
      <c r="I438" s="8"/>
      <c r="J438" s="8"/>
      <c r="K438" s="8"/>
      <c r="L438" s="86"/>
      <c r="M438" s="86"/>
      <c r="N438" s="86"/>
      <c r="O438" s="86"/>
      <c r="P438" s="86"/>
    </row>
    <row r="439" spans="1:16" ht="15">
      <c r="A439" s="72"/>
      <c r="B439" s="70" t="s">
        <v>18</v>
      </c>
      <c r="C439" s="70"/>
      <c r="D439" s="9"/>
      <c r="E439" s="9"/>
      <c r="F439" s="9"/>
      <c r="G439" s="9"/>
      <c r="H439" s="9"/>
      <c r="I439" s="9"/>
      <c r="J439" s="9"/>
      <c r="K439" s="9"/>
      <c r="L439" s="86"/>
      <c r="M439" s="86"/>
      <c r="N439" s="86"/>
      <c r="O439" s="86"/>
      <c r="P439" s="86"/>
    </row>
    <row r="440" spans="1:16" ht="15">
      <c r="A440" s="72">
        <v>3</v>
      </c>
      <c r="B440" s="73" t="s">
        <v>20</v>
      </c>
      <c r="C440" s="73"/>
      <c r="D440" s="10"/>
      <c r="E440" s="10"/>
      <c r="F440" s="10"/>
      <c r="G440" s="10"/>
      <c r="H440" s="10"/>
      <c r="I440" s="10"/>
      <c r="J440" s="10"/>
      <c r="K440" s="10"/>
      <c r="L440" s="86"/>
      <c r="M440" s="86"/>
      <c r="N440" s="86"/>
      <c r="O440" s="86"/>
      <c r="P440" s="86"/>
    </row>
    <row r="441" spans="1:16" ht="15" customHeight="1">
      <c r="A441" s="72"/>
      <c r="B441" s="74" t="s">
        <v>21</v>
      </c>
      <c r="C441" s="74"/>
      <c r="D441" s="8"/>
      <c r="E441" s="8"/>
      <c r="F441" s="8"/>
      <c r="G441" s="8"/>
      <c r="H441" s="8"/>
      <c r="I441" s="8"/>
      <c r="J441" s="8"/>
      <c r="K441" s="8"/>
      <c r="L441" s="86"/>
      <c r="M441" s="86"/>
      <c r="N441" s="86"/>
      <c r="O441" s="86"/>
      <c r="P441" s="86"/>
    </row>
    <row r="442" spans="1:16" ht="15" customHeight="1">
      <c r="A442" s="72"/>
      <c r="B442" s="74" t="s">
        <v>22</v>
      </c>
      <c r="C442" s="74"/>
      <c r="D442" s="8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23</v>
      </c>
      <c r="C443" s="74"/>
      <c r="D443" s="8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>
      <c r="A444" s="72"/>
      <c r="B444" s="70" t="s">
        <v>18</v>
      </c>
      <c r="C444" s="70"/>
      <c r="D444" s="9"/>
      <c r="E444" s="9"/>
      <c r="F444" s="9"/>
      <c r="G444" s="9"/>
      <c r="H444" s="9"/>
      <c r="I444" s="9"/>
      <c r="J444" s="9"/>
      <c r="K444" s="9"/>
      <c r="L444" s="86"/>
      <c r="M444" s="86"/>
      <c r="N444" s="86"/>
      <c r="O444" s="86"/>
      <c r="P444" s="86"/>
    </row>
    <row r="445" spans="1:16" ht="15">
      <c r="A445" s="72">
        <v>4</v>
      </c>
      <c r="B445" s="73" t="s">
        <v>24</v>
      </c>
      <c r="C445" s="73"/>
      <c r="D445" s="10"/>
      <c r="E445" s="10"/>
      <c r="F445" s="10"/>
      <c r="G445" s="10"/>
      <c r="H445" s="10"/>
      <c r="I445" s="10"/>
      <c r="J445" s="10"/>
      <c r="K445" s="10"/>
      <c r="L445" s="86"/>
      <c r="M445" s="86"/>
      <c r="N445" s="86"/>
      <c r="O445" s="86"/>
      <c r="P445" s="86"/>
    </row>
    <row r="446" spans="1:16" ht="15" customHeight="1">
      <c r="A446" s="72"/>
      <c r="B446" s="74" t="s">
        <v>25</v>
      </c>
      <c r="C446" s="74"/>
      <c r="D446" s="8"/>
      <c r="E446" s="8"/>
      <c r="F446" s="8"/>
      <c r="G446" s="8"/>
      <c r="H446" s="8"/>
      <c r="I446" s="8"/>
      <c r="J446" s="8"/>
      <c r="K446" s="8"/>
      <c r="L446" s="86"/>
      <c r="M446" s="86"/>
      <c r="N446" s="86"/>
      <c r="O446" s="86"/>
      <c r="P446" s="86"/>
    </row>
    <row r="447" spans="1:16" ht="15" customHeight="1">
      <c r="A447" s="72"/>
      <c r="B447" s="74" t="s">
        <v>26</v>
      </c>
      <c r="C447" s="74"/>
      <c r="D447" s="8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>
      <c r="A448" s="72"/>
      <c r="B448" s="70" t="s">
        <v>18</v>
      </c>
      <c r="C448" s="70"/>
      <c r="D448" s="9"/>
      <c r="E448" s="9"/>
      <c r="F448" s="9"/>
      <c r="G448" s="9"/>
      <c r="H448" s="9"/>
      <c r="I448" s="9"/>
      <c r="J448" s="9"/>
      <c r="K448" s="9"/>
      <c r="L448" s="86"/>
      <c r="M448" s="86"/>
      <c r="N448" s="86"/>
      <c r="O448" s="86"/>
      <c r="P448" s="86"/>
    </row>
    <row r="449" spans="1:16" ht="15">
      <c r="A449" s="72">
        <v>5</v>
      </c>
      <c r="B449" s="73" t="s">
        <v>27</v>
      </c>
      <c r="C449" s="73"/>
      <c r="D449" s="8"/>
      <c r="E449" s="8"/>
      <c r="F449" s="8"/>
      <c r="G449" s="8"/>
      <c r="H449" s="8"/>
      <c r="I449" s="8"/>
      <c r="J449" s="8"/>
      <c r="K449" s="8"/>
      <c r="L449" s="86"/>
      <c r="M449" s="86"/>
      <c r="N449" s="86"/>
      <c r="O449" s="86"/>
      <c r="P449" s="86"/>
    </row>
    <row r="450" spans="1:16" ht="15">
      <c r="A450" s="72"/>
      <c r="B450" s="70" t="s">
        <v>18</v>
      </c>
      <c r="C450" s="70"/>
      <c r="D450" s="9"/>
      <c r="E450" s="9"/>
      <c r="F450" s="9"/>
      <c r="G450" s="9"/>
      <c r="H450" s="9"/>
      <c r="I450" s="9"/>
      <c r="J450" s="9"/>
      <c r="K450" s="9"/>
      <c r="L450" s="86"/>
      <c r="M450" s="86"/>
      <c r="N450" s="86"/>
      <c r="O450" s="86"/>
      <c r="P450" s="86"/>
    </row>
    <row r="451" spans="1:16" ht="15">
      <c r="A451" s="72">
        <v>6</v>
      </c>
      <c r="B451" s="73" t="s">
        <v>28</v>
      </c>
      <c r="C451" s="73"/>
      <c r="D451" s="10"/>
      <c r="E451" s="10"/>
      <c r="F451" s="10"/>
      <c r="G451" s="10"/>
      <c r="H451" s="10"/>
      <c r="I451" s="10"/>
      <c r="J451" s="10"/>
      <c r="K451" s="10"/>
      <c r="L451" s="86"/>
      <c r="M451" s="86"/>
      <c r="N451" s="86"/>
      <c r="O451" s="86"/>
      <c r="P451" s="86"/>
    </row>
    <row r="452" spans="1:16" ht="15" customHeight="1">
      <c r="A452" s="72"/>
      <c r="B452" s="74" t="s">
        <v>29</v>
      </c>
      <c r="C452" s="74"/>
      <c r="D452" s="8"/>
      <c r="E452" s="8"/>
      <c r="F452" s="8"/>
      <c r="G452" s="8"/>
      <c r="H452" s="8"/>
      <c r="I452" s="8"/>
      <c r="J452" s="8"/>
      <c r="K452" s="8"/>
      <c r="L452" s="86"/>
      <c r="M452" s="86"/>
      <c r="N452" s="86"/>
      <c r="O452" s="86"/>
      <c r="P452" s="86"/>
    </row>
    <row r="453" spans="1:16" ht="15" customHeight="1">
      <c r="A453" s="72"/>
      <c r="B453" s="74" t="s">
        <v>30</v>
      </c>
      <c r="C453" s="74"/>
      <c r="D453" s="8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31</v>
      </c>
      <c r="C454" s="74"/>
      <c r="D454" s="8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32</v>
      </c>
      <c r="C455" s="74"/>
      <c r="D455" s="8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33</v>
      </c>
      <c r="C456" s="74"/>
      <c r="D456" s="8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>
      <c r="A457" s="72"/>
      <c r="B457" s="70" t="s">
        <v>18</v>
      </c>
      <c r="C457" s="70"/>
      <c r="D457" s="9"/>
      <c r="E457" s="9"/>
      <c r="F457" s="9"/>
      <c r="G457" s="9"/>
      <c r="H457" s="9"/>
      <c r="I457" s="9"/>
      <c r="J457" s="9"/>
      <c r="K457" s="9"/>
      <c r="L457" s="86"/>
      <c r="M457" s="86"/>
      <c r="N457" s="86"/>
      <c r="O457" s="86"/>
      <c r="P457" s="86"/>
    </row>
    <row r="458" spans="1:16" ht="15">
      <c r="A458" s="72">
        <v>7</v>
      </c>
      <c r="B458" s="73" t="s">
        <v>34</v>
      </c>
      <c r="C458" s="73"/>
      <c r="D458" s="10"/>
      <c r="E458" s="10"/>
      <c r="F458" s="10"/>
      <c r="G458" s="10"/>
      <c r="H458" s="10"/>
      <c r="I458" s="10"/>
      <c r="J458" s="10"/>
      <c r="K458" s="10"/>
      <c r="L458" s="86"/>
      <c r="M458" s="86"/>
      <c r="N458" s="86"/>
      <c r="O458" s="86"/>
      <c r="P458" s="86"/>
    </row>
    <row r="459" spans="1:16" ht="15" customHeight="1">
      <c r="A459" s="72"/>
      <c r="B459" s="74" t="s">
        <v>35</v>
      </c>
      <c r="C459" s="74"/>
      <c r="D459" s="8"/>
      <c r="E459" s="8"/>
      <c r="F459" s="8"/>
      <c r="G459" s="8"/>
      <c r="H459" s="8"/>
      <c r="I459" s="8"/>
      <c r="J459" s="8"/>
      <c r="K459" s="8"/>
      <c r="L459" s="86"/>
      <c r="M459" s="86"/>
      <c r="N459" s="86"/>
      <c r="O459" s="86"/>
      <c r="P459" s="86"/>
    </row>
    <row r="460" spans="1:16" ht="15" customHeight="1">
      <c r="A460" s="72"/>
      <c r="B460" s="74" t="s">
        <v>36</v>
      </c>
      <c r="C460" s="74"/>
      <c r="D460" s="8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37</v>
      </c>
      <c r="C461" s="74"/>
      <c r="D461" s="8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38</v>
      </c>
      <c r="C462" s="74"/>
      <c r="D462" s="8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39</v>
      </c>
      <c r="C463" s="74"/>
      <c r="D463" s="8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40</v>
      </c>
      <c r="C464" s="74"/>
      <c r="D464" s="8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41</v>
      </c>
      <c r="C465" s="74"/>
      <c r="D465" s="8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42</v>
      </c>
      <c r="C466" s="74"/>
      <c r="D466" s="8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68" t="s">
        <v>43</v>
      </c>
      <c r="C467" s="69"/>
      <c r="D467" s="8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>
      <c r="A468" s="72"/>
      <c r="B468" s="70" t="s">
        <v>18</v>
      </c>
      <c r="C468" s="70"/>
      <c r="D468" s="9"/>
      <c r="E468" s="9"/>
      <c r="F468" s="9"/>
      <c r="G468" s="9"/>
      <c r="H468" s="9"/>
      <c r="I468" s="9"/>
      <c r="J468" s="9"/>
      <c r="K468" s="9"/>
      <c r="L468" s="86"/>
      <c r="M468" s="86"/>
      <c r="N468" s="86"/>
      <c r="O468" s="86"/>
      <c r="P468" s="86"/>
    </row>
    <row r="470" spans="1:16" ht="15">
      <c r="B470" s="71" t="s">
        <v>44</v>
      </c>
      <c r="C470" s="71"/>
      <c r="D470" s="1">
        <f>SUM(D436:D467)</f>
        <v>0</v>
      </c>
      <c r="E470" s="1">
        <f t="shared" ref="E470:K470" si="30">SUM(E436:E467)</f>
        <v>0</v>
      </c>
      <c r="F470" s="1">
        <f t="shared" si="30"/>
        <v>0</v>
      </c>
      <c r="G470" s="1">
        <f t="shared" si="30"/>
        <v>0</v>
      </c>
      <c r="H470" s="1">
        <f t="shared" si="30"/>
        <v>0</v>
      </c>
      <c r="I470" s="1">
        <f t="shared" si="30"/>
        <v>0</v>
      </c>
      <c r="J470" s="1">
        <f t="shared" si="30"/>
        <v>0</v>
      </c>
      <c r="K470" s="1">
        <f t="shared" si="30"/>
        <v>0</v>
      </c>
      <c r="M470" s="17" t="s">
        <v>2</v>
      </c>
      <c r="N470" s="17" t="s">
        <v>3</v>
      </c>
    </row>
    <row r="471" spans="1:16" ht="15">
      <c r="C471" s="64"/>
      <c r="D471" s="1">
        <f>COUNT(D436:D468)*5</f>
        <v>0</v>
      </c>
      <c r="E471" s="1">
        <f t="shared" ref="E471:K471" si="31">COUNT(E436:E468)*5</f>
        <v>0</v>
      </c>
      <c r="F471" s="1">
        <f t="shared" si="31"/>
        <v>0</v>
      </c>
      <c r="G471" s="1">
        <f t="shared" si="31"/>
        <v>0</v>
      </c>
      <c r="H471" s="1">
        <f t="shared" si="31"/>
        <v>0</v>
      </c>
      <c r="I471" s="1">
        <f t="shared" si="31"/>
        <v>0</v>
      </c>
      <c r="J471" s="1">
        <f t="shared" si="31"/>
        <v>0</v>
      </c>
      <c r="K471" s="1">
        <f t="shared" si="31"/>
        <v>0</v>
      </c>
      <c r="M471" s="18" t="e">
        <f>(D472+F472+H472+J472)/4</f>
        <v>#DIV/0!</v>
      </c>
      <c r="N471" s="18" t="e">
        <f>(E472+G472+I472+K472)/4</f>
        <v>#DIV/0!</v>
      </c>
    </row>
    <row r="472" spans="1:16" ht="15">
      <c r="C472" s="2" t="s">
        <v>45</v>
      </c>
      <c r="D472" s="11" t="e">
        <f>D470/D471</f>
        <v>#DIV/0!</v>
      </c>
      <c r="E472" s="11" t="e">
        <f t="shared" ref="E472:K472" si="32">E470/E471</f>
        <v>#DIV/0!</v>
      </c>
      <c r="F472" s="11" t="e">
        <f t="shared" si="32"/>
        <v>#DIV/0!</v>
      </c>
      <c r="G472" s="11" t="e">
        <f t="shared" si="32"/>
        <v>#DIV/0!</v>
      </c>
      <c r="H472" s="11" t="e">
        <f t="shared" si="32"/>
        <v>#DIV/0!</v>
      </c>
      <c r="I472" s="11" t="e">
        <f t="shared" si="32"/>
        <v>#DIV/0!</v>
      </c>
      <c r="J472" s="11" t="e">
        <f t="shared" si="32"/>
        <v>#DIV/0!</v>
      </c>
      <c r="K472" s="11" t="e">
        <f t="shared" si="32"/>
        <v>#DIV/0!</v>
      </c>
      <c r="L472" s="4"/>
      <c r="M472" s="4"/>
      <c r="N472" s="4"/>
      <c r="O472" s="4"/>
      <c r="P472" s="4"/>
    </row>
    <row r="473" spans="1:16" s="22" customFormat="1"/>
    <row r="474" spans="1:16" ht="18">
      <c r="B474" s="16" t="s">
        <v>56</v>
      </c>
      <c r="C474" s="23" t="s">
        <v>6</v>
      </c>
      <c r="D474" s="75" t="s">
        <v>7</v>
      </c>
      <c r="E474" s="76"/>
      <c r="F474" s="75" t="s">
        <v>8</v>
      </c>
      <c r="G474" s="76"/>
      <c r="H474" s="75" t="s">
        <v>9</v>
      </c>
      <c r="I474" s="76"/>
      <c r="J474" s="75" t="s">
        <v>10</v>
      </c>
      <c r="K474" s="76"/>
    </row>
    <row r="475" spans="1:16" s="1" customFormat="1" ht="15">
      <c r="A475" s="77" t="s">
        <v>11</v>
      </c>
      <c r="B475" s="77" t="s">
        <v>12</v>
      </c>
      <c r="C475" s="6" t="s">
        <v>13</v>
      </c>
      <c r="D475" s="29"/>
      <c r="E475" s="29"/>
      <c r="F475" s="29"/>
      <c r="G475" s="29"/>
      <c r="H475" s="29"/>
      <c r="I475" s="29"/>
      <c r="J475" s="29"/>
      <c r="K475" s="29"/>
      <c r="L475" s="80" t="s">
        <v>14</v>
      </c>
      <c r="M475" s="81"/>
      <c r="N475" s="81"/>
      <c r="O475" s="81"/>
      <c r="P475" s="81"/>
    </row>
    <row r="476" spans="1:16" s="1" customFormat="1" ht="15">
      <c r="A476" s="78"/>
      <c r="B476" s="78"/>
      <c r="C476" s="6"/>
      <c r="D476" s="7" t="s">
        <v>2</v>
      </c>
      <c r="E476" s="7" t="s">
        <v>15</v>
      </c>
      <c r="F476" s="7" t="s">
        <v>2</v>
      </c>
      <c r="G476" s="7" t="s">
        <v>15</v>
      </c>
      <c r="H476" s="7" t="s">
        <v>2</v>
      </c>
      <c r="I476" s="7" t="s">
        <v>15</v>
      </c>
      <c r="J476" s="7" t="s">
        <v>2</v>
      </c>
      <c r="K476" s="7" t="s">
        <v>15</v>
      </c>
      <c r="L476" s="80"/>
      <c r="M476" s="81"/>
      <c r="N476" s="81"/>
      <c r="O476" s="81"/>
      <c r="P476" s="81"/>
    </row>
    <row r="477" spans="1:16" s="1" customFormat="1" ht="15">
      <c r="A477" s="79"/>
      <c r="B477" s="79"/>
      <c r="C477" s="6" t="s">
        <v>16</v>
      </c>
      <c r="D477" s="6"/>
      <c r="E477" s="6"/>
      <c r="F477" s="6"/>
      <c r="G477" s="6"/>
      <c r="H477" s="6"/>
      <c r="I477" s="6"/>
      <c r="J477" s="6"/>
      <c r="K477" s="6"/>
      <c r="L477" s="80"/>
      <c r="M477" s="81"/>
      <c r="N477" s="81"/>
      <c r="O477" s="81"/>
      <c r="P477" s="81"/>
    </row>
    <row r="478" spans="1:16" ht="15">
      <c r="A478" s="82">
        <v>1</v>
      </c>
      <c r="B478" s="84" t="s">
        <v>17</v>
      </c>
      <c r="C478" s="85"/>
      <c r="D478" s="8"/>
      <c r="E478" s="8"/>
      <c r="F478" s="8"/>
      <c r="G478" s="8"/>
      <c r="H478" s="8"/>
      <c r="I478" s="8"/>
      <c r="J478" s="8"/>
      <c r="K478" s="8"/>
      <c r="L478" s="86"/>
      <c r="M478" s="86"/>
      <c r="N478" s="86"/>
      <c r="O478" s="86"/>
      <c r="P478" s="86"/>
    </row>
    <row r="479" spans="1:16" ht="15">
      <c r="A479" s="83"/>
      <c r="B479" s="87" t="s">
        <v>18</v>
      </c>
      <c r="C479" s="88"/>
      <c r="D479" s="9"/>
      <c r="E479" s="9"/>
      <c r="F479" s="9"/>
      <c r="G479" s="9"/>
      <c r="H479" s="9"/>
      <c r="I479" s="9"/>
      <c r="J479" s="9"/>
      <c r="K479" s="9"/>
      <c r="L479" s="86"/>
      <c r="M479" s="86"/>
      <c r="N479" s="86"/>
      <c r="O479" s="86"/>
      <c r="P479" s="86"/>
    </row>
    <row r="480" spans="1:16" ht="15">
      <c r="A480" s="72">
        <v>2</v>
      </c>
      <c r="B480" s="73" t="s">
        <v>19</v>
      </c>
      <c r="C480" s="73"/>
      <c r="D480" s="8"/>
      <c r="E480" s="8"/>
      <c r="F480" s="8"/>
      <c r="G480" s="8"/>
      <c r="H480" s="8"/>
      <c r="I480" s="8"/>
      <c r="J480" s="8"/>
      <c r="K480" s="8"/>
      <c r="L480" s="86"/>
      <c r="M480" s="86"/>
      <c r="N480" s="86"/>
      <c r="O480" s="86"/>
      <c r="P480" s="86"/>
    </row>
    <row r="481" spans="1:16" ht="15">
      <c r="A481" s="72"/>
      <c r="B481" s="70" t="s">
        <v>18</v>
      </c>
      <c r="C481" s="70"/>
      <c r="D481" s="9"/>
      <c r="E481" s="9"/>
      <c r="F481" s="9"/>
      <c r="G481" s="9"/>
      <c r="H481" s="9"/>
      <c r="I481" s="9"/>
      <c r="J481" s="9"/>
      <c r="K481" s="9"/>
      <c r="L481" s="86"/>
      <c r="M481" s="86"/>
      <c r="N481" s="86"/>
      <c r="O481" s="86"/>
      <c r="P481" s="86"/>
    </row>
    <row r="482" spans="1:16" ht="15">
      <c r="A482" s="72">
        <v>3</v>
      </c>
      <c r="B482" s="73" t="s">
        <v>20</v>
      </c>
      <c r="C482" s="73"/>
      <c r="D482" s="10"/>
      <c r="E482" s="10"/>
      <c r="F482" s="10"/>
      <c r="G482" s="10"/>
      <c r="H482" s="10"/>
      <c r="I482" s="10"/>
      <c r="J482" s="10"/>
      <c r="K482" s="10"/>
      <c r="L482" s="86"/>
      <c r="M482" s="86"/>
      <c r="N482" s="86"/>
      <c r="O482" s="86"/>
      <c r="P482" s="86"/>
    </row>
    <row r="483" spans="1:16" ht="15" customHeight="1">
      <c r="A483" s="72"/>
      <c r="B483" s="74" t="s">
        <v>21</v>
      </c>
      <c r="C483" s="74"/>
      <c r="D483" s="8"/>
      <c r="E483" s="8"/>
      <c r="F483" s="8"/>
      <c r="G483" s="8"/>
      <c r="H483" s="8"/>
      <c r="I483" s="8"/>
      <c r="J483" s="8"/>
      <c r="K483" s="8"/>
      <c r="L483" s="86"/>
      <c r="M483" s="86"/>
      <c r="N483" s="86"/>
      <c r="O483" s="86"/>
      <c r="P483" s="86"/>
    </row>
    <row r="484" spans="1:16" ht="15" customHeight="1">
      <c r="A484" s="72"/>
      <c r="B484" s="74" t="s">
        <v>22</v>
      </c>
      <c r="C484" s="74"/>
      <c r="D484" s="8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23</v>
      </c>
      <c r="C485" s="74"/>
      <c r="D485" s="8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>
      <c r="A486" s="72"/>
      <c r="B486" s="70" t="s">
        <v>18</v>
      </c>
      <c r="C486" s="70"/>
      <c r="D486" s="9"/>
      <c r="E486" s="9"/>
      <c r="F486" s="9"/>
      <c r="G486" s="9"/>
      <c r="H486" s="9"/>
      <c r="I486" s="9"/>
      <c r="J486" s="9"/>
      <c r="K486" s="9"/>
      <c r="L486" s="86"/>
      <c r="M486" s="86"/>
      <c r="N486" s="86"/>
      <c r="O486" s="86"/>
      <c r="P486" s="86"/>
    </row>
    <row r="487" spans="1:16" ht="15">
      <c r="A487" s="72">
        <v>4</v>
      </c>
      <c r="B487" s="73" t="s">
        <v>24</v>
      </c>
      <c r="C487" s="73"/>
      <c r="D487" s="10"/>
      <c r="E487" s="10"/>
      <c r="F487" s="10"/>
      <c r="G487" s="10"/>
      <c r="H487" s="10"/>
      <c r="I487" s="10"/>
      <c r="J487" s="10"/>
      <c r="K487" s="10"/>
      <c r="L487" s="86"/>
      <c r="M487" s="86"/>
      <c r="N487" s="86"/>
      <c r="O487" s="86"/>
      <c r="P487" s="86"/>
    </row>
    <row r="488" spans="1:16" ht="15" customHeight="1">
      <c r="A488" s="72"/>
      <c r="B488" s="74" t="s">
        <v>25</v>
      </c>
      <c r="C488" s="74"/>
      <c r="D488" s="8"/>
      <c r="E488" s="8"/>
      <c r="F488" s="8"/>
      <c r="G488" s="8"/>
      <c r="H488" s="8"/>
      <c r="I488" s="8"/>
      <c r="J488" s="8"/>
      <c r="K488" s="8"/>
      <c r="L488" s="86"/>
      <c r="M488" s="86"/>
      <c r="N488" s="86"/>
      <c r="O488" s="86"/>
      <c r="P488" s="86"/>
    </row>
    <row r="489" spans="1:16" ht="15" customHeight="1">
      <c r="A489" s="72"/>
      <c r="B489" s="74" t="s">
        <v>26</v>
      </c>
      <c r="C489" s="74"/>
      <c r="D489" s="8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>
      <c r="A490" s="72"/>
      <c r="B490" s="70" t="s">
        <v>18</v>
      </c>
      <c r="C490" s="70"/>
      <c r="D490" s="9"/>
      <c r="E490" s="9"/>
      <c r="F490" s="9"/>
      <c r="G490" s="9"/>
      <c r="H490" s="9"/>
      <c r="I490" s="9"/>
      <c r="J490" s="9"/>
      <c r="K490" s="9"/>
      <c r="L490" s="86"/>
      <c r="M490" s="86"/>
      <c r="N490" s="86"/>
      <c r="O490" s="86"/>
      <c r="P490" s="86"/>
    </row>
    <row r="491" spans="1:16" ht="15">
      <c r="A491" s="72">
        <v>5</v>
      </c>
      <c r="B491" s="73" t="s">
        <v>27</v>
      </c>
      <c r="C491" s="73"/>
      <c r="D491" s="8"/>
      <c r="E491" s="8"/>
      <c r="F491" s="8"/>
      <c r="G491" s="8"/>
      <c r="H491" s="8"/>
      <c r="I491" s="8"/>
      <c r="J491" s="8"/>
      <c r="K491" s="8"/>
      <c r="L491" s="86"/>
      <c r="M491" s="86"/>
      <c r="N491" s="86"/>
      <c r="O491" s="86"/>
      <c r="P491" s="86"/>
    </row>
    <row r="492" spans="1:16" ht="15">
      <c r="A492" s="72"/>
      <c r="B492" s="70" t="s">
        <v>18</v>
      </c>
      <c r="C492" s="70"/>
      <c r="D492" s="9"/>
      <c r="E492" s="9"/>
      <c r="F492" s="9"/>
      <c r="G492" s="9"/>
      <c r="H492" s="9"/>
      <c r="I492" s="9"/>
      <c r="J492" s="9"/>
      <c r="K492" s="9"/>
      <c r="L492" s="86"/>
      <c r="M492" s="86"/>
      <c r="N492" s="86"/>
      <c r="O492" s="86"/>
      <c r="P492" s="86"/>
    </row>
    <row r="493" spans="1:16" ht="15">
      <c r="A493" s="72">
        <v>6</v>
      </c>
      <c r="B493" s="73" t="s">
        <v>28</v>
      </c>
      <c r="C493" s="73"/>
      <c r="D493" s="10"/>
      <c r="E493" s="10"/>
      <c r="F493" s="10"/>
      <c r="G493" s="10"/>
      <c r="H493" s="10"/>
      <c r="I493" s="10"/>
      <c r="J493" s="10"/>
      <c r="K493" s="10"/>
      <c r="L493" s="86"/>
      <c r="M493" s="86"/>
      <c r="N493" s="86"/>
      <c r="O493" s="86"/>
      <c r="P493" s="86"/>
    </row>
    <row r="494" spans="1:16" ht="15" customHeight="1">
      <c r="A494" s="72"/>
      <c r="B494" s="74" t="s">
        <v>29</v>
      </c>
      <c r="C494" s="74"/>
      <c r="D494" s="8"/>
      <c r="E494" s="8"/>
      <c r="F494" s="8"/>
      <c r="G494" s="8"/>
      <c r="H494" s="8"/>
      <c r="I494" s="8"/>
      <c r="J494" s="8"/>
      <c r="K494" s="8"/>
      <c r="L494" s="86"/>
      <c r="M494" s="86"/>
      <c r="N494" s="86"/>
      <c r="O494" s="86"/>
      <c r="P494" s="86"/>
    </row>
    <row r="495" spans="1:16" ht="15" customHeight="1">
      <c r="A495" s="72"/>
      <c r="B495" s="74" t="s">
        <v>30</v>
      </c>
      <c r="C495" s="74"/>
      <c r="D495" s="8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31</v>
      </c>
      <c r="C496" s="74"/>
      <c r="D496" s="8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32</v>
      </c>
      <c r="C497" s="74"/>
      <c r="D497" s="8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33</v>
      </c>
      <c r="C498" s="74"/>
      <c r="D498" s="8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>
      <c r="A499" s="72"/>
      <c r="B499" s="70" t="s">
        <v>18</v>
      </c>
      <c r="C499" s="70"/>
      <c r="D499" s="9"/>
      <c r="E499" s="9"/>
      <c r="F499" s="9"/>
      <c r="G499" s="9"/>
      <c r="H499" s="9"/>
      <c r="I499" s="9"/>
      <c r="J499" s="9"/>
      <c r="K499" s="9"/>
      <c r="L499" s="86"/>
      <c r="M499" s="86"/>
      <c r="N499" s="86"/>
      <c r="O499" s="86"/>
      <c r="P499" s="86"/>
    </row>
    <row r="500" spans="1:16" ht="15">
      <c r="A500" s="72">
        <v>7</v>
      </c>
      <c r="B500" s="73" t="s">
        <v>34</v>
      </c>
      <c r="C500" s="73"/>
      <c r="D500" s="10"/>
      <c r="E500" s="10"/>
      <c r="F500" s="10"/>
      <c r="G500" s="10"/>
      <c r="H500" s="10"/>
      <c r="I500" s="10"/>
      <c r="J500" s="10"/>
      <c r="K500" s="10"/>
      <c r="L500" s="86"/>
      <c r="M500" s="86"/>
      <c r="N500" s="86"/>
      <c r="O500" s="86"/>
      <c r="P500" s="86"/>
    </row>
    <row r="501" spans="1:16" ht="15" customHeight="1">
      <c r="A501" s="72"/>
      <c r="B501" s="74" t="s">
        <v>35</v>
      </c>
      <c r="C501" s="74"/>
      <c r="D501" s="8"/>
      <c r="E501" s="8"/>
      <c r="F501" s="8"/>
      <c r="G501" s="8"/>
      <c r="H501" s="8"/>
      <c r="I501" s="8"/>
      <c r="J501" s="8"/>
      <c r="K501" s="8"/>
      <c r="L501" s="86"/>
      <c r="M501" s="86"/>
      <c r="N501" s="86"/>
      <c r="O501" s="86"/>
      <c r="P501" s="86"/>
    </row>
    <row r="502" spans="1:16" ht="15" customHeight="1">
      <c r="A502" s="72"/>
      <c r="B502" s="74" t="s">
        <v>36</v>
      </c>
      <c r="C502" s="74"/>
      <c r="D502" s="8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37</v>
      </c>
      <c r="C503" s="74"/>
      <c r="D503" s="8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38</v>
      </c>
      <c r="C504" s="74"/>
      <c r="D504" s="8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39</v>
      </c>
      <c r="C505" s="74"/>
      <c r="D505" s="8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40</v>
      </c>
      <c r="C506" s="74"/>
      <c r="D506" s="8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41</v>
      </c>
      <c r="C507" s="74"/>
      <c r="D507" s="8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42</v>
      </c>
      <c r="C508" s="74"/>
      <c r="D508" s="8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68" t="s">
        <v>43</v>
      </c>
      <c r="C509" s="69"/>
      <c r="D509" s="8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>
      <c r="A510" s="72"/>
      <c r="B510" s="70" t="s">
        <v>18</v>
      </c>
      <c r="C510" s="70"/>
      <c r="D510" s="9"/>
      <c r="E510" s="9"/>
      <c r="F510" s="9"/>
      <c r="G510" s="9"/>
      <c r="H510" s="9"/>
      <c r="I510" s="9"/>
      <c r="J510" s="9"/>
      <c r="K510" s="9"/>
      <c r="L510" s="86"/>
      <c r="M510" s="86"/>
      <c r="N510" s="86"/>
      <c r="O510" s="86"/>
      <c r="P510" s="86"/>
    </row>
    <row r="512" spans="1:16" ht="15">
      <c r="B512" s="71" t="s">
        <v>44</v>
      </c>
      <c r="C512" s="71"/>
      <c r="D512" s="1">
        <f>SUM(D478:D509)</f>
        <v>0</v>
      </c>
      <c r="E512" s="1">
        <f t="shared" ref="E512:K512" si="33">SUM(E478:E509)</f>
        <v>0</v>
      </c>
      <c r="F512" s="1">
        <f t="shared" si="33"/>
        <v>0</v>
      </c>
      <c r="G512" s="1">
        <f t="shared" si="33"/>
        <v>0</v>
      </c>
      <c r="H512" s="1">
        <f t="shared" si="33"/>
        <v>0</v>
      </c>
      <c r="I512" s="1">
        <f t="shared" si="33"/>
        <v>0</v>
      </c>
      <c r="J512" s="1">
        <f t="shared" si="33"/>
        <v>0</v>
      </c>
      <c r="K512" s="1">
        <f t="shared" si="33"/>
        <v>0</v>
      </c>
      <c r="M512" s="17" t="s">
        <v>2</v>
      </c>
      <c r="N512" s="17" t="s">
        <v>3</v>
      </c>
    </row>
    <row r="513" spans="3:16" ht="15">
      <c r="C513" s="64"/>
      <c r="D513" s="1">
        <f>COUNT(D478:D510)*5</f>
        <v>0</v>
      </c>
      <c r="E513" s="1">
        <f t="shared" ref="E513:K513" si="34">COUNT(E478:E510)*5</f>
        <v>0</v>
      </c>
      <c r="F513" s="1">
        <f t="shared" si="34"/>
        <v>0</v>
      </c>
      <c r="G513" s="1">
        <f t="shared" si="34"/>
        <v>0</v>
      </c>
      <c r="H513" s="1">
        <f t="shared" si="34"/>
        <v>0</v>
      </c>
      <c r="I513" s="1">
        <f t="shared" si="34"/>
        <v>0</v>
      </c>
      <c r="J513" s="1">
        <f t="shared" si="34"/>
        <v>0</v>
      </c>
      <c r="K513" s="1">
        <f t="shared" si="34"/>
        <v>0</v>
      </c>
      <c r="M513" s="18" t="e">
        <f>(D514+F514+H514+J514)/4</f>
        <v>#DIV/0!</v>
      </c>
      <c r="N513" s="18" t="e">
        <f>(E514+G514+I514+K514)/4</f>
        <v>#DIV/0!</v>
      </c>
    </row>
    <row r="514" spans="3:16" ht="15">
      <c r="C514" s="2" t="s">
        <v>45</v>
      </c>
      <c r="D514" s="11" t="e">
        <f>D512/D513</f>
        <v>#DIV/0!</v>
      </c>
      <c r="E514" s="11" t="e">
        <f t="shared" ref="E514:K514" si="35">E512/E513</f>
        <v>#DIV/0!</v>
      </c>
      <c r="F514" s="11" t="e">
        <f t="shared" si="35"/>
        <v>#DIV/0!</v>
      </c>
      <c r="G514" s="11" t="e">
        <f t="shared" si="35"/>
        <v>#DIV/0!</v>
      </c>
      <c r="H514" s="11" t="e">
        <f t="shared" si="35"/>
        <v>#DIV/0!</v>
      </c>
      <c r="I514" s="11" t="e">
        <f t="shared" si="35"/>
        <v>#DIV/0!</v>
      </c>
      <c r="J514" s="11" t="e">
        <f t="shared" si="35"/>
        <v>#DIV/0!</v>
      </c>
      <c r="K514" s="11" t="e">
        <f t="shared" si="35"/>
        <v>#DIV/0!</v>
      </c>
      <c r="L514" s="4"/>
      <c r="M514" s="4"/>
      <c r="N514" s="4"/>
      <c r="O514" s="4"/>
      <c r="P514" s="4"/>
    </row>
  </sheetData>
  <sheetProtection formatCells="0" selectLockedCells="1" selectUnlockedCells="1"/>
  <mergeCells count="588">
    <mergeCell ref="B512:C512"/>
    <mergeCell ref="A500:A510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489:C489"/>
    <mergeCell ref="B490:C490"/>
    <mergeCell ref="A491:A492"/>
    <mergeCell ref="B491:C491"/>
    <mergeCell ref="B492:C492"/>
    <mergeCell ref="A493:A499"/>
    <mergeCell ref="B493:C493"/>
    <mergeCell ref="B494:C494"/>
    <mergeCell ref="B495:C495"/>
    <mergeCell ref="B496:C496"/>
    <mergeCell ref="B497:C497"/>
    <mergeCell ref="B498:C498"/>
    <mergeCell ref="B499:C499"/>
    <mergeCell ref="B470:C470"/>
    <mergeCell ref="D474:E474"/>
    <mergeCell ref="F474:G474"/>
    <mergeCell ref="H474:I474"/>
    <mergeCell ref="J474:K474"/>
    <mergeCell ref="A475:A477"/>
    <mergeCell ref="B475:B477"/>
    <mergeCell ref="L475:P477"/>
    <mergeCell ref="A478:A479"/>
    <mergeCell ref="B478:C478"/>
    <mergeCell ref="L478:P510"/>
    <mergeCell ref="B479:C479"/>
    <mergeCell ref="A480:A481"/>
    <mergeCell ref="B480:C480"/>
    <mergeCell ref="B481:C481"/>
    <mergeCell ref="A482:A486"/>
    <mergeCell ref="B482:C482"/>
    <mergeCell ref="B483:C483"/>
    <mergeCell ref="B484:C484"/>
    <mergeCell ref="B485:C485"/>
    <mergeCell ref="B486:C486"/>
    <mergeCell ref="A487:A490"/>
    <mergeCell ref="B487:C487"/>
    <mergeCell ref="B488:C488"/>
    <mergeCell ref="A458:A468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48:C448"/>
    <mergeCell ref="A449:A450"/>
    <mergeCell ref="B449:C449"/>
    <mergeCell ref="B450:C450"/>
    <mergeCell ref="A451:A457"/>
    <mergeCell ref="B451:C451"/>
    <mergeCell ref="B452:C452"/>
    <mergeCell ref="B453:C453"/>
    <mergeCell ref="B454:C454"/>
    <mergeCell ref="B455:C455"/>
    <mergeCell ref="B456:C456"/>
    <mergeCell ref="B457:C457"/>
    <mergeCell ref="D432:E432"/>
    <mergeCell ref="F432:G432"/>
    <mergeCell ref="H432:I432"/>
    <mergeCell ref="J432:K432"/>
    <mergeCell ref="A433:A435"/>
    <mergeCell ref="B433:B435"/>
    <mergeCell ref="L433:P435"/>
    <mergeCell ref="A436:A437"/>
    <mergeCell ref="B436:C436"/>
    <mergeCell ref="L436:P468"/>
    <mergeCell ref="B437:C437"/>
    <mergeCell ref="A438:A439"/>
    <mergeCell ref="B438:C438"/>
    <mergeCell ref="B439:C439"/>
    <mergeCell ref="A440:A444"/>
    <mergeCell ref="B440:C440"/>
    <mergeCell ref="B441:C441"/>
    <mergeCell ref="B442:C442"/>
    <mergeCell ref="B443:C443"/>
    <mergeCell ref="B444:C444"/>
    <mergeCell ref="A445:A448"/>
    <mergeCell ref="B445:C445"/>
    <mergeCell ref="B446:C446"/>
    <mergeCell ref="B447:C447"/>
    <mergeCell ref="B260:C260"/>
    <mergeCell ref="A248:A258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38:C238"/>
    <mergeCell ref="A239:A240"/>
    <mergeCell ref="B239:C239"/>
    <mergeCell ref="B240:C240"/>
    <mergeCell ref="A241:A247"/>
    <mergeCell ref="B241:C241"/>
    <mergeCell ref="B242:C242"/>
    <mergeCell ref="B243:C243"/>
    <mergeCell ref="B244:C244"/>
    <mergeCell ref="B245:C245"/>
    <mergeCell ref="B246:C246"/>
    <mergeCell ref="B247:C247"/>
    <mergeCell ref="D222:E222"/>
    <mergeCell ref="F222:G222"/>
    <mergeCell ref="H222:I222"/>
    <mergeCell ref="J222:K222"/>
    <mergeCell ref="A223:A225"/>
    <mergeCell ref="B223:B225"/>
    <mergeCell ref="L223:P225"/>
    <mergeCell ref="A226:A227"/>
    <mergeCell ref="B226:C226"/>
    <mergeCell ref="L226:P258"/>
    <mergeCell ref="B227:C227"/>
    <mergeCell ref="A228:A229"/>
    <mergeCell ref="B228:C228"/>
    <mergeCell ref="B229:C229"/>
    <mergeCell ref="A230:A234"/>
    <mergeCell ref="B230:C230"/>
    <mergeCell ref="B231:C231"/>
    <mergeCell ref="B232:C232"/>
    <mergeCell ref="B233:C233"/>
    <mergeCell ref="B234:C234"/>
    <mergeCell ref="A235:A238"/>
    <mergeCell ref="B235:C235"/>
    <mergeCell ref="B236:C236"/>
    <mergeCell ref="B237:C237"/>
    <mergeCell ref="B176:C176"/>
    <mergeCell ref="A164:A174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54:C154"/>
    <mergeCell ref="A155:A156"/>
    <mergeCell ref="B155:C155"/>
    <mergeCell ref="B156:C156"/>
    <mergeCell ref="A157:A163"/>
    <mergeCell ref="B157:C157"/>
    <mergeCell ref="B158:C158"/>
    <mergeCell ref="B159:C159"/>
    <mergeCell ref="B160:C160"/>
    <mergeCell ref="B161:C161"/>
    <mergeCell ref="B162:C162"/>
    <mergeCell ref="B163:C163"/>
    <mergeCell ref="D138:E138"/>
    <mergeCell ref="F138:G138"/>
    <mergeCell ref="H138:I138"/>
    <mergeCell ref="J138:K138"/>
    <mergeCell ref="A139:A141"/>
    <mergeCell ref="B139:B141"/>
    <mergeCell ref="L139:P141"/>
    <mergeCell ref="A142:A143"/>
    <mergeCell ref="B142:C142"/>
    <mergeCell ref="L142:P174"/>
    <mergeCell ref="B143:C143"/>
    <mergeCell ref="A144:A145"/>
    <mergeCell ref="B144:C144"/>
    <mergeCell ref="B145:C145"/>
    <mergeCell ref="A146:A150"/>
    <mergeCell ref="B146:C146"/>
    <mergeCell ref="B147:C147"/>
    <mergeCell ref="B148:C148"/>
    <mergeCell ref="B149:C149"/>
    <mergeCell ref="B150:C150"/>
    <mergeCell ref="A151:A154"/>
    <mergeCell ref="B151:C151"/>
    <mergeCell ref="B152:C152"/>
    <mergeCell ref="B153:C153"/>
    <mergeCell ref="B110:C110"/>
    <mergeCell ref="B111:C111"/>
    <mergeCell ref="B112:C112"/>
    <mergeCell ref="A113:A114"/>
    <mergeCell ref="B113:C113"/>
    <mergeCell ref="B114:C114"/>
    <mergeCell ref="B134:C134"/>
    <mergeCell ref="A122:A132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L97:P99"/>
    <mergeCell ref="A100:A101"/>
    <mergeCell ref="B100:C100"/>
    <mergeCell ref="L100:P132"/>
    <mergeCell ref="B101:C101"/>
    <mergeCell ref="A102:A103"/>
    <mergeCell ref="B102:C102"/>
    <mergeCell ref="B103:C103"/>
    <mergeCell ref="A104:A108"/>
    <mergeCell ref="B104:C104"/>
    <mergeCell ref="B105:C105"/>
    <mergeCell ref="B106:C106"/>
    <mergeCell ref="B107:C107"/>
    <mergeCell ref="B108:C108"/>
    <mergeCell ref="A109:A112"/>
    <mergeCell ref="B109:C109"/>
    <mergeCell ref="A115:A121"/>
    <mergeCell ref="B115:C115"/>
    <mergeCell ref="B116:C116"/>
    <mergeCell ref="B117:C117"/>
    <mergeCell ref="B118:C118"/>
    <mergeCell ref="B119:C119"/>
    <mergeCell ref="B120:C120"/>
    <mergeCell ref="B121:C121"/>
    <mergeCell ref="J96:K96"/>
    <mergeCell ref="A97:A99"/>
    <mergeCell ref="B97:B99"/>
    <mergeCell ref="B92:C92"/>
    <mergeCell ref="A80:A90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68:C68"/>
    <mergeCell ref="B69:C69"/>
    <mergeCell ref="B70:C70"/>
    <mergeCell ref="A71:A72"/>
    <mergeCell ref="B71:C71"/>
    <mergeCell ref="B72:C72"/>
    <mergeCell ref="D96:E96"/>
    <mergeCell ref="F96:G96"/>
    <mergeCell ref="H96:I96"/>
    <mergeCell ref="L55:P57"/>
    <mergeCell ref="A58:A59"/>
    <mergeCell ref="B58:C58"/>
    <mergeCell ref="L58:P90"/>
    <mergeCell ref="B59:C59"/>
    <mergeCell ref="A60:A61"/>
    <mergeCell ref="B60:C60"/>
    <mergeCell ref="B61:C61"/>
    <mergeCell ref="A62:A66"/>
    <mergeCell ref="B62:C62"/>
    <mergeCell ref="B63:C63"/>
    <mergeCell ref="B64:C64"/>
    <mergeCell ref="B65:C65"/>
    <mergeCell ref="B66:C66"/>
    <mergeCell ref="A67:A70"/>
    <mergeCell ref="B67:C67"/>
    <mergeCell ref="A73:A79"/>
    <mergeCell ref="B73:C73"/>
    <mergeCell ref="B74:C74"/>
    <mergeCell ref="B75:C75"/>
    <mergeCell ref="B76:C76"/>
    <mergeCell ref="B77:C77"/>
    <mergeCell ref="B78:C78"/>
    <mergeCell ref="B79:C79"/>
    <mergeCell ref="D54:E54"/>
    <mergeCell ref="F54:G54"/>
    <mergeCell ref="H54:I54"/>
    <mergeCell ref="J54:K54"/>
    <mergeCell ref="A55:A57"/>
    <mergeCell ref="B55:B57"/>
    <mergeCell ref="B20:C20"/>
    <mergeCell ref="B26:C26"/>
    <mergeCell ref="B13:B15"/>
    <mergeCell ref="A13:A15"/>
    <mergeCell ref="B16:C16"/>
    <mergeCell ref="B24:C24"/>
    <mergeCell ref="B19:C19"/>
    <mergeCell ref="B17:C17"/>
    <mergeCell ref="B25:C25"/>
    <mergeCell ref="B23:C23"/>
    <mergeCell ref="B22:C22"/>
    <mergeCell ref="B21:C21"/>
    <mergeCell ref="B50:C50"/>
    <mergeCell ref="B48:C48"/>
    <mergeCell ref="B37:C37"/>
    <mergeCell ref="B30:C30"/>
    <mergeCell ref="B28:C28"/>
    <mergeCell ref="D12:E12"/>
    <mergeCell ref="F12:G12"/>
    <mergeCell ref="H12:I12"/>
    <mergeCell ref="J12:K12"/>
    <mergeCell ref="B41:C41"/>
    <mergeCell ref="B40:C40"/>
    <mergeCell ref="B39:C39"/>
    <mergeCell ref="B38:C38"/>
    <mergeCell ref="B36:C36"/>
    <mergeCell ref="B35:C35"/>
    <mergeCell ref="B18:C18"/>
    <mergeCell ref="B33:C33"/>
    <mergeCell ref="B32:C32"/>
    <mergeCell ref="B31:C31"/>
    <mergeCell ref="B29:C29"/>
    <mergeCell ref="B27:C27"/>
    <mergeCell ref="L13:P15"/>
    <mergeCell ref="L16:P48"/>
    <mergeCell ref="A16:A17"/>
    <mergeCell ref="A18:A19"/>
    <mergeCell ref="A20:A24"/>
    <mergeCell ref="A25:A28"/>
    <mergeCell ref="A29:A30"/>
    <mergeCell ref="A31:A37"/>
    <mergeCell ref="A38:A48"/>
    <mergeCell ref="B47:C47"/>
    <mergeCell ref="B34:C34"/>
    <mergeCell ref="B46:C46"/>
    <mergeCell ref="B45:C45"/>
    <mergeCell ref="B44:C44"/>
    <mergeCell ref="B43:C43"/>
    <mergeCell ref="B42:C42"/>
    <mergeCell ref="D180:E180"/>
    <mergeCell ref="F180:G180"/>
    <mergeCell ref="H180:I180"/>
    <mergeCell ref="J180:K180"/>
    <mergeCell ref="A181:A183"/>
    <mergeCell ref="B181:B183"/>
    <mergeCell ref="L181:P183"/>
    <mergeCell ref="A184:A185"/>
    <mergeCell ref="B184:C184"/>
    <mergeCell ref="L184:P216"/>
    <mergeCell ref="B185:C185"/>
    <mergeCell ref="A186:A187"/>
    <mergeCell ref="B186:C186"/>
    <mergeCell ref="B187:C187"/>
    <mergeCell ref="A188:A192"/>
    <mergeCell ref="B188:C188"/>
    <mergeCell ref="B189:C189"/>
    <mergeCell ref="B190:C190"/>
    <mergeCell ref="B191:C191"/>
    <mergeCell ref="B192:C192"/>
    <mergeCell ref="A193:A196"/>
    <mergeCell ref="B193:C193"/>
    <mergeCell ref="B194:C194"/>
    <mergeCell ref="B195:C195"/>
    <mergeCell ref="B196:C196"/>
    <mergeCell ref="A197:A198"/>
    <mergeCell ref="B197:C197"/>
    <mergeCell ref="B198:C198"/>
    <mergeCell ref="A199:A205"/>
    <mergeCell ref="B199:C199"/>
    <mergeCell ref="B200:C200"/>
    <mergeCell ref="B201:C201"/>
    <mergeCell ref="B202:C202"/>
    <mergeCell ref="B203:C203"/>
    <mergeCell ref="B204:C204"/>
    <mergeCell ref="B205:C205"/>
    <mergeCell ref="B218:C218"/>
    <mergeCell ref="A206:A216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D264:E264"/>
    <mergeCell ref="F264:G264"/>
    <mergeCell ref="H264:I264"/>
    <mergeCell ref="J264:K264"/>
    <mergeCell ref="A265:A267"/>
    <mergeCell ref="B265:B267"/>
    <mergeCell ref="L265:P267"/>
    <mergeCell ref="A268:A269"/>
    <mergeCell ref="B268:C268"/>
    <mergeCell ref="L268:P300"/>
    <mergeCell ref="B269:C269"/>
    <mergeCell ref="A270:A271"/>
    <mergeCell ref="B270:C270"/>
    <mergeCell ref="B271:C271"/>
    <mergeCell ref="A272:A276"/>
    <mergeCell ref="B272:C272"/>
    <mergeCell ref="B273:C273"/>
    <mergeCell ref="B274:C274"/>
    <mergeCell ref="B275:C275"/>
    <mergeCell ref="B276:C276"/>
    <mergeCell ref="A277:A280"/>
    <mergeCell ref="B277:C277"/>
    <mergeCell ref="B278:C278"/>
    <mergeCell ref="B279:C279"/>
    <mergeCell ref="B280:C280"/>
    <mergeCell ref="A281:A282"/>
    <mergeCell ref="B281:C281"/>
    <mergeCell ref="B282:C282"/>
    <mergeCell ref="A283:A289"/>
    <mergeCell ref="B283:C283"/>
    <mergeCell ref="B284:C284"/>
    <mergeCell ref="B285:C285"/>
    <mergeCell ref="B286:C286"/>
    <mergeCell ref="B287:C287"/>
    <mergeCell ref="B288:C288"/>
    <mergeCell ref="B289:C289"/>
    <mergeCell ref="B302:C302"/>
    <mergeCell ref="A290:A300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D306:E306"/>
    <mergeCell ref="F306:G306"/>
    <mergeCell ref="H306:I306"/>
    <mergeCell ref="J306:K306"/>
    <mergeCell ref="A307:A309"/>
    <mergeCell ref="B307:B309"/>
    <mergeCell ref="L307:P309"/>
    <mergeCell ref="A310:A311"/>
    <mergeCell ref="B310:C310"/>
    <mergeCell ref="L310:P342"/>
    <mergeCell ref="B311:C311"/>
    <mergeCell ref="A312:A313"/>
    <mergeCell ref="B312:C312"/>
    <mergeCell ref="B313:C313"/>
    <mergeCell ref="A314:A318"/>
    <mergeCell ref="B314:C314"/>
    <mergeCell ref="B315:C315"/>
    <mergeCell ref="B316:C316"/>
    <mergeCell ref="B317:C317"/>
    <mergeCell ref="B318:C318"/>
    <mergeCell ref="A319:A322"/>
    <mergeCell ref="B319:C319"/>
    <mergeCell ref="B320:C320"/>
    <mergeCell ref="B321:C321"/>
    <mergeCell ref="B322:C322"/>
    <mergeCell ref="A323:A324"/>
    <mergeCell ref="B323:C323"/>
    <mergeCell ref="B324:C324"/>
    <mergeCell ref="A325:A331"/>
    <mergeCell ref="B325:C325"/>
    <mergeCell ref="B326:C326"/>
    <mergeCell ref="B327:C327"/>
    <mergeCell ref="B328:C328"/>
    <mergeCell ref="B329:C329"/>
    <mergeCell ref="B330:C330"/>
    <mergeCell ref="B331:C331"/>
    <mergeCell ref="A332:A342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4:C344"/>
    <mergeCell ref="D348:E348"/>
    <mergeCell ref="F348:G348"/>
    <mergeCell ref="H348:I348"/>
    <mergeCell ref="J348:K348"/>
    <mergeCell ref="A349:A351"/>
    <mergeCell ref="B349:B351"/>
    <mergeCell ref="L349:P351"/>
    <mergeCell ref="A352:A353"/>
    <mergeCell ref="B352:C352"/>
    <mergeCell ref="L352:P384"/>
    <mergeCell ref="B353:C353"/>
    <mergeCell ref="A354:A355"/>
    <mergeCell ref="B354:C354"/>
    <mergeCell ref="B355:C355"/>
    <mergeCell ref="A356:A360"/>
    <mergeCell ref="B356:C356"/>
    <mergeCell ref="B357:C357"/>
    <mergeCell ref="B358:C358"/>
    <mergeCell ref="B359:C359"/>
    <mergeCell ref="B360:C360"/>
    <mergeCell ref="A361:A364"/>
    <mergeCell ref="B361:C361"/>
    <mergeCell ref="B362:C362"/>
    <mergeCell ref="B363:C363"/>
    <mergeCell ref="B364:C364"/>
    <mergeCell ref="A365:A366"/>
    <mergeCell ref="B365:C365"/>
    <mergeCell ref="B366:C366"/>
    <mergeCell ref="A367:A373"/>
    <mergeCell ref="B367:C367"/>
    <mergeCell ref="B368:C368"/>
    <mergeCell ref="B369:C369"/>
    <mergeCell ref="B370:C370"/>
    <mergeCell ref="B371:C371"/>
    <mergeCell ref="B372:C372"/>
    <mergeCell ref="B373:C373"/>
    <mergeCell ref="A374:A384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6:C386"/>
    <mergeCell ref="D390:E390"/>
    <mergeCell ref="F390:G390"/>
    <mergeCell ref="H390:I390"/>
    <mergeCell ref="J390:K390"/>
    <mergeCell ref="A391:A393"/>
    <mergeCell ref="B391:B393"/>
    <mergeCell ref="L391:P393"/>
    <mergeCell ref="A394:A395"/>
    <mergeCell ref="B394:C394"/>
    <mergeCell ref="L394:P426"/>
    <mergeCell ref="B395:C395"/>
    <mergeCell ref="A396:A397"/>
    <mergeCell ref="B396:C396"/>
    <mergeCell ref="B397:C397"/>
    <mergeCell ref="A398:A402"/>
    <mergeCell ref="B398:C398"/>
    <mergeCell ref="B399:C399"/>
    <mergeCell ref="B400:C400"/>
    <mergeCell ref="B401:C401"/>
    <mergeCell ref="B402:C402"/>
    <mergeCell ref="A403:A406"/>
    <mergeCell ref="B403:C403"/>
    <mergeCell ref="B404:C404"/>
    <mergeCell ref="B405:C405"/>
    <mergeCell ref="B406:C406"/>
    <mergeCell ref="A407:A408"/>
    <mergeCell ref="B407:C407"/>
    <mergeCell ref="B408:C408"/>
    <mergeCell ref="A409:A415"/>
    <mergeCell ref="B409:C409"/>
    <mergeCell ref="B410:C410"/>
    <mergeCell ref="B411:C411"/>
    <mergeCell ref="B412:C412"/>
    <mergeCell ref="B413:C413"/>
    <mergeCell ref="B414:C414"/>
    <mergeCell ref="B415:C415"/>
    <mergeCell ref="B428:C428"/>
    <mergeCell ref="A416:A426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</mergeCells>
  <dataValidations count="1">
    <dataValidation type="list" allowBlank="1" showInputMessage="1" showErrorMessage="1" sqref="D16:K16 D18:K18 D21:K23 D26:K27 D29:K29 D32:K36 D39:K47 D58:K58 D60:K60 D63:K65 D68:K69 D71:K71 D74:K78 D81:K89 D100:K100 D102:K102 D105:K107 D110:K111 D113:K113 D116:K120 D123:K131 D142:K142 D144:K144 D147:K149 D152:K153 D155:K155 D158:K162 D165:K173 D184:K184 D186:K186 D189:K191 D194:K195 D197:K197 D200:K204 D207:K215 D226:K226 D228:K228 D231:K233 D236:K237 D239:K239 D242:K246 D249:K257 D268:K268 D270:K270 D273:K275 D278:K279 D281:K281 D284:K288 D291:K299 D310:K310 D312:K312 D315:K317 D320:K321 D323:K323 D326:K330 D333:K341 D352:K352 D354:K354 D357:K359 D362:K363 D365:K365 D368:K372 D375:K383 D394:K394 D396:K396 D399:K401 D404:K405 D407:K407 D410:K414 D417:K425 D436:K436 D438:K438 D441:K443 D446:K447 D449:K449 D452:K456 D459:K467 D478:K478 D480:K480 D483:K485 D488:K489 D491:K491 D494:K498 D501:K509" xr:uid="{92CDFBF1-203D-4A5D-AA16-0CC0952CEB79}">
      <formula1>$A$3:$A$8</formula1>
    </dataValidation>
  </dataValidations>
  <hyperlinks>
    <hyperlink ref="C12" location="'ALL STAFF'!A1" display="&lt;BACK" xr:uid="{D549F7F5-D7E8-45E8-A13D-ADCCFFF9CC96}"/>
    <hyperlink ref="C54" location="'ALL STAFF'!A1" display="&lt;BACK" xr:uid="{71FC2C78-F888-4CF6-BA6B-B5D063399933}"/>
    <hyperlink ref="C96" location="'ALL STAFF'!A1" display="&lt;BACK" xr:uid="{8337BD1E-6950-4145-AD6C-26E0E1228453}"/>
    <hyperlink ref="C138" location="'ALL STAFF'!A1" display="&lt;BACK" xr:uid="{300BF5B9-D13F-46E8-AA6B-D6699F19F11F}"/>
    <hyperlink ref="C180" location="'ALL STAFF'!A1" display="&lt;BACK" xr:uid="{D48821AC-52B5-4070-A16A-47F61C34596A}"/>
    <hyperlink ref="C222" location="'ALL STAFF'!A1" display="&lt;BACK" xr:uid="{934A09F2-86C7-4C04-BE9A-38BFE04AF265}"/>
    <hyperlink ref="C264" location="'ALL STAFF'!A1" display="&lt;BACK" xr:uid="{8765DA75-861E-4762-B40B-601B9349C4DB}"/>
    <hyperlink ref="C306" location="'ALL STAFF'!A1" display="&lt;BACK" xr:uid="{21482377-CAD0-4E06-953E-96CC6E41C99B}"/>
    <hyperlink ref="C348" location="'ALL STAFF'!A1" display="&lt;BACK" xr:uid="{46CEA651-1564-4727-A736-4CEEE0DC57CF}"/>
    <hyperlink ref="C390" location="'ALL STAFF'!A1" display="&lt;BACK" xr:uid="{04CA9634-DCF5-4198-B464-DAF99D1ACCE2}"/>
    <hyperlink ref="C432" location="'ALL STAFF'!A1" display="&lt;BACK" xr:uid="{B4E4AE40-64DB-44DD-9E22-B2711DC83872}"/>
    <hyperlink ref="C474" location="'ALL STAFF'!A1" display="&lt;BACK" xr:uid="{8695868A-5FBB-463F-9351-A64D595970F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74C2-85B5-4CE7-8D40-AC71A9082B5A}">
  <sheetPr codeName="Sheet2">
    <tabColor rgb="FFFFFF00"/>
  </sheetPr>
  <dimension ref="A1:N227"/>
  <sheetViews>
    <sheetView topLeftCell="A135" workbookViewId="0">
      <selection activeCell="L145" sqref="L145"/>
    </sheetView>
  </sheetViews>
  <sheetFormatPr defaultRowHeight="14.25"/>
  <cols>
    <col min="1" max="1" width="26.375" customWidth="1"/>
    <col min="2" max="2" width="6.125" customWidth="1"/>
    <col min="3" max="3" width="18.375" customWidth="1"/>
    <col min="4" max="4" width="14.875" customWidth="1"/>
    <col min="5" max="5" width="5.625" customWidth="1"/>
    <col min="6" max="6" width="18.375" customWidth="1"/>
    <col min="7" max="7" width="14.875" customWidth="1"/>
    <col min="8" max="8" width="6.375" customWidth="1"/>
    <col min="9" max="9" width="18.375" customWidth="1"/>
    <col min="10" max="10" width="14.875" customWidth="1"/>
    <col min="11" max="11" width="5.75" customWidth="1"/>
    <col min="12" max="12" width="18.375" customWidth="1"/>
    <col min="13" max="14" width="14.875" customWidth="1"/>
  </cols>
  <sheetData>
    <row r="1" spans="1:14" ht="15">
      <c r="A1" s="3" t="s">
        <v>5</v>
      </c>
    </row>
    <row r="2" spans="1:14" s="1" customFormat="1" ht="45">
      <c r="A2" s="63" t="s">
        <v>57</v>
      </c>
      <c r="B2" s="13" t="s">
        <v>58</v>
      </c>
      <c r="C2" s="13" t="s">
        <v>59</v>
      </c>
      <c r="D2" s="13" t="s">
        <v>60</v>
      </c>
      <c r="E2" s="13" t="s">
        <v>58</v>
      </c>
      <c r="F2" s="13" t="s">
        <v>59</v>
      </c>
      <c r="G2" s="13" t="s">
        <v>60</v>
      </c>
      <c r="H2" s="13" t="s">
        <v>58</v>
      </c>
      <c r="I2" s="13" t="s">
        <v>59</v>
      </c>
      <c r="J2" s="13" t="s">
        <v>60</v>
      </c>
      <c r="K2" s="13" t="s">
        <v>58</v>
      </c>
      <c r="L2" s="13" t="s">
        <v>59</v>
      </c>
      <c r="M2" s="13" t="s">
        <v>60</v>
      </c>
      <c r="N2" s="14"/>
    </row>
    <row r="3" spans="1:14" ht="57">
      <c r="A3" s="15" t="s">
        <v>61</v>
      </c>
      <c r="B3" s="67" t="s">
        <v>62</v>
      </c>
      <c r="C3" s="51" t="s">
        <v>63</v>
      </c>
      <c r="D3" s="67"/>
      <c r="E3" s="67" t="s">
        <v>62</v>
      </c>
      <c r="F3" s="67" t="s">
        <v>64</v>
      </c>
      <c r="G3" s="67" t="s">
        <v>65</v>
      </c>
      <c r="H3" s="67" t="s">
        <v>62</v>
      </c>
      <c r="I3" s="67" t="s">
        <v>66</v>
      </c>
      <c r="J3" s="67"/>
      <c r="K3" s="67" t="s">
        <v>62</v>
      </c>
      <c r="L3" s="67" t="s">
        <v>66</v>
      </c>
      <c r="M3" s="67"/>
    </row>
    <row r="4" spans="1:14" ht="15">
      <c r="A4" s="15" t="s">
        <v>67</v>
      </c>
      <c r="B4" s="67"/>
      <c r="C4" s="67"/>
      <c r="D4" s="67"/>
      <c r="E4" s="67"/>
      <c r="F4" s="67"/>
      <c r="G4" s="67"/>
      <c r="H4" s="67" t="s">
        <v>62</v>
      </c>
      <c r="I4" s="67" t="s">
        <v>66</v>
      </c>
      <c r="J4" s="67"/>
      <c r="K4" s="67" t="s">
        <v>62</v>
      </c>
      <c r="L4" s="67" t="s">
        <v>66</v>
      </c>
      <c r="M4" s="67"/>
    </row>
    <row r="5" spans="1:14" ht="15">
      <c r="A5" s="15" t="s">
        <v>68</v>
      </c>
      <c r="B5" s="67" t="s">
        <v>62</v>
      </c>
      <c r="C5" s="67" t="s">
        <v>66</v>
      </c>
      <c r="D5" s="67"/>
      <c r="E5" s="67" t="s">
        <v>62</v>
      </c>
      <c r="F5" s="67" t="s">
        <v>66</v>
      </c>
      <c r="G5" s="67"/>
      <c r="H5" s="67" t="s">
        <v>62</v>
      </c>
      <c r="I5" s="67" t="s">
        <v>66</v>
      </c>
      <c r="J5" s="67"/>
      <c r="K5" s="67" t="s">
        <v>62</v>
      </c>
      <c r="L5" s="67" t="s">
        <v>66</v>
      </c>
      <c r="M5" s="67"/>
    </row>
    <row r="6" spans="1:14" ht="15">
      <c r="A6" s="15" t="s">
        <v>69</v>
      </c>
      <c r="B6" s="67" t="s">
        <v>62</v>
      </c>
      <c r="C6" s="67" t="s">
        <v>66</v>
      </c>
      <c r="D6" s="67"/>
      <c r="E6" s="67" t="s">
        <v>62</v>
      </c>
      <c r="F6" s="67" t="s">
        <v>66</v>
      </c>
      <c r="G6" s="67"/>
      <c r="H6" s="67" t="s">
        <v>62</v>
      </c>
      <c r="I6" s="67" t="s">
        <v>66</v>
      </c>
      <c r="J6" s="67"/>
      <c r="K6" s="67" t="s">
        <v>62</v>
      </c>
      <c r="L6" s="67" t="s">
        <v>66</v>
      </c>
      <c r="M6" s="67"/>
    </row>
    <row r="7" spans="1:14" ht="15">
      <c r="A7" s="15" t="s">
        <v>70</v>
      </c>
      <c r="B7" s="67" t="s">
        <v>62</v>
      </c>
      <c r="C7" s="67" t="s">
        <v>66</v>
      </c>
      <c r="D7" s="67"/>
      <c r="E7" s="67" t="s">
        <v>62</v>
      </c>
      <c r="F7" s="67" t="s">
        <v>66</v>
      </c>
      <c r="G7" s="67"/>
      <c r="H7" s="67" t="s">
        <v>62</v>
      </c>
      <c r="I7" s="67" t="s">
        <v>66</v>
      </c>
      <c r="J7" s="67"/>
      <c r="K7" s="67" t="s">
        <v>62</v>
      </c>
      <c r="L7" s="67" t="s">
        <v>66</v>
      </c>
      <c r="M7" s="67"/>
    </row>
    <row r="8" spans="1:14" ht="15">
      <c r="A8" s="15" t="s">
        <v>71</v>
      </c>
      <c r="B8" s="67" t="s">
        <v>62</v>
      </c>
      <c r="C8" s="67" t="s">
        <v>66</v>
      </c>
      <c r="D8" s="67"/>
      <c r="E8" s="67" t="s">
        <v>62</v>
      </c>
      <c r="F8" s="67" t="s">
        <v>66</v>
      </c>
      <c r="G8" s="67"/>
      <c r="H8" s="67" t="s">
        <v>62</v>
      </c>
      <c r="I8" s="67" t="s">
        <v>66</v>
      </c>
      <c r="J8" s="67"/>
      <c r="K8" s="67" t="s">
        <v>62</v>
      </c>
      <c r="L8" s="67" t="s">
        <v>66</v>
      </c>
      <c r="M8" s="67"/>
    </row>
    <row r="9" spans="1:14" ht="15">
      <c r="A9" s="15" t="s">
        <v>72</v>
      </c>
      <c r="B9" s="67" t="s">
        <v>62</v>
      </c>
      <c r="C9" s="67" t="s">
        <v>66</v>
      </c>
      <c r="D9" s="67"/>
      <c r="E9" s="67" t="s">
        <v>62</v>
      </c>
      <c r="F9" s="67" t="s">
        <v>66</v>
      </c>
      <c r="G9" s="67"/>
      <c r="H9" s="67" t="s">
        <v>62</v>
      </c>
      <c r="I9" s="67" t="s">
        <v>66</v>
      </c>
      <c r="J9" s="67"/>
      <c r="K9" s="67" t="s">
        <v>62</v>
      </c>
      <c r="L9" s="67" t="s">
        <v>66</v>
      </c>
      <c r="M9" s="67"/>
    </row>
    <row r="10" spans="1:14" ht="15">
      <c r="A10" s="15" t="s">
        <v>73</v>
      </c>
      <c r="B10" s="67" t="s">
        <v>62</v>
      </c>
      <c r="C10" s="67" t="s">
        <v>66</v>
      </c>
      <c r="D10" s="67"/>
      <c r="E10" s="67" t="s">
        <v>62</v>
      </c>
      <c r="F10" s="67" t="s">
        <v>66</v>
      </c>
      <c r="G10" s="67"/>
      <c r="H10" s="67" t="s">
        <v>62</v>
      </c>
      <c r="I10" s="67" t="s">
        <v>66</v>
      </c>
      <c r="J10" s="67"/>
      <c r="K10" s="67" t="s">
        <v>62</v>
      </c>
      <c r="L10" s="67" t="s">
        <v>66</v>
      </c>
      <c r="M10" s="67"/>
    </row>
    <row r="11" spans="1:14" ht="15">
      <c r="A11" s="15" t="s">
        <v>74</v>
      </c>
      <c r="B11" s="67" t="s">
        <v>62</v>
      </c>
      <c r="C11" s="67" t="s">
        <v>66</v>
      </c>
      <c r="D11" s="67"/>
      <c r="E11" s="67" t="s">
        <v>62</v>
      </c>
      <c r="F11" s="67" t="s">
        <v>66</v>
      </c>
      <c r="G11" s="67"/>
      <c r="H11" s="67" t="s">
        <v>62</v>
      </c>
      <c r="I11" s="67" t="s">
        <v>66</v>
      </c>
      <c r="J11" s="67"/>
      <c r="K11" s="67" t="s">
        <v>62</v>
      </c>
      <c r="L11" s="67" t="s">
        <v>66</v>
      </c>
      <c r="M11" s="67"/>
    </row>
    <row r="12" spans="1:14">
      <c r="A12" s="94" t="s">
        <v>75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</row>
    <row r="13" spans="1:14">
      <c r="A13" s="94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</row>
    <row r="14" spans="1:14">
      <c r="A14" s="94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</row>
    <row r="15" spans="1:14"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</row>
    <row r="16" spans="1:14" ht="15">
      <c r="A16" s="12" t="s">
        <v>76</v>
      </c>
      <c r="B16" s="96" t="s">
        <v>77</v>
      </c>
      <c r="C16" s="96"/>
      <c r="D16" s="96"/>
      <c r="E16" s="96" t="s">
        <v>78</v>
      </c>
      <c r="F16" s="96"/>
      <c r="G16" s="96"/>
      <c r="H16" s="96" t="s">
        <v>78</v>
      </c>
      <c r="I16" s="96"/>
      <c r="J16" s="96"/>
      <c r="K16" s="96" t="s">
        <v>79</v>
      </c>
      <c r="L16" s="96"/>
      <c r="M16" s="96"/>
      <c r="N16" s="64"/>
    </row>
    <row r="17" spans="1:14" ht="15">
      <c r="A17" s="12" t="s">
        <v>80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64"/>
    </row>
    <row r="18" spans="1:14" ht="15">
      <c r="A18" s="12" t="s">
        <v>13</v>
      </c>
      <c r="B18" s="97">
        <v>46037</v>
      </c>
      <c r="C18" s="96"/>
      <c r="D18" s="96"/>
      <c r="E18" s="96" t="s">
        <v>81</v>
      </c>
      <c r="F18" s="96"/>
      <c r="G18" s="96"/>
      <c r="H18" s="96" t="s">
        <v>82</v>
      </c>
      <c r="I18" s="96"/>
      <c r="J18" s="96"/>
      <c r="K18" s="97">
        <v>46205</v>
      </c>
      <c r="L18" s="96"/>
      <c r="M18" s="96"/>
      <c r="N18" s="64"/>
    </row>
    <row r="19" spans="1:14" s="22" customFormat="1"/>
    <row r="20" spans="1:14" ht="15">
      <c r="A20" s="3" t="s">
        <v>46</v>
      </c>
    </row>
    <row r="21" spans="1:14" s="1" customFormat="1" ht="45">
      <c r="A21" s="63" t="s">
        <v>57</v>
      </c>
      <c r="B21" s="13" t="s">
        <v>58</v>
      </c>
      <c r="C21" s="63" t="s">
        <v>59</v>
      </c>
      <c r="D21" s="13" t="s">
        <v>60</v>
      </c>
      <c r="E21" s="13" t="s">
        <v>58</v>
      </c>
      <c r="F21" s="63" t="s">
        <v>59</v>
      </c>
      <c r="G21" s="13" t="s">
        <v>60</v>
      </c>
      <c r="H21" s="13" t="s">
        <v>58</v>
      </c>
      <c r="I21" s="63" t="s">
        <v>59</v>
      </c>
      <c r="J21" s="13" t="s">
        <v>60</v>
      </c>
      <c r="K21" s="13" t="s">
        <v>58</v>
      </c>
      <c r="L21" s="63" t="s">
        <v>59</v>
      </c>
      <c r="M21" s="13" t="s">
        <v>60</v>
      </c>
      <c r="N21" s="14"/>
    </row>
    <row r="22" spans="1:14" ht="15">
      <c r="A22" s="15" t="s">
        <v>61</v>
      </c>
      <c r="B22" s="67" t="s">
        <v>62</v>
      </c>
      <c r="C22" s="67" t="s">
        <v>66</v>
      </c>
      <c r="D22" s="67"/>
      <c r="E22" s="67" t="s">
        <v>62</v>
      </c>
      <c r="F22" s="67" t="s">
        <v>66</v>
      </c>
      <c r="G22" s="67"/>
      <c r="H22" s="67" t="s">
        <v>62</v>
      </c>
      <c r="I22" s="67" t="s">
        <v>66</v>
      </c>
      <c r="J22" s="67"/>
      <c r="K22" s="67"/>
      <c r="L22" s="67"/>
      <c r="M22" s="67"/>
    </row>
    <row r="23" spans="1:14" ht="15">
      <c r="A23" s="15" t="s">
        <v>67</v>
      </c>
      <c r="B23" s="67" t="s">
        <v>62</v>
      </c>
      <c r="C23" s="67" t="s">
        <v>66</v>
      </c>
      <c r="D23" s="67"/>
      <c r="E23" s="67" t="s">
        <v>62</v>
      </c>
      <c r="F23" s="67" t="s">
        <v>66</v>
      </c>
      <c r="G23" s="67"/>
      <c r="H23" s="67" t="s">
        <v>62</v>
      </c>
      <c r="I23" s="67" t="s">
        <v>66</v>
      </c>
      <c r="J23" s="67"/>
      <c r="K23" s="67"/>
      <c r="L23" s="67"/>
      <c r="M23" s="67"/>
    </row>
    <row r="24" spans="1:14" ht="15">
      <c r="A24" s="15" t="s">
        <v>68</v>
      </c>
      <c r="B24" s="67" t="s">
        <v>62</v>
      </c>
      <c r="C24" s="67" t="s">
        <v>66</v>
      </c>
      <c r="D24" s="67"/>
      <c r="E24" s="67" t="s">
        <v>62</v>
      </c>
      <c r="F24" s="67" t="s">
        <v>66</v>
      </c>
      <c r="G24" s="67"/>
      <c r="H24" s="67" t="s">
        <v>62</v>
      </c>
      <c r="I24" s="67" t="s">
        <v>66</v>
      </c>
      <c r="J24" s="67"/>
      <c r="K24" s="67"/>
      <c r="L24" s="67"/>
      <c r="M24" s="67"/>
    </row>
    <row r="25" spans="1:14" ht="15">
      <c r="A25" s="15" t="s">
        <v>69</v>
      </c>
      <c r="B25" s="67" t="s">
        <v>62</v>
      </c>
      <c r="C25" s="67" t="s">
        <v>66</v>
      </c>
      <c r="D25" s="67"/>
      <c r="E25" s="67" t="s">
        <v>62</v>
      </c>
      <c r="F25" s="67" t="s">
        <v>66</v>
      </c>
      <c r="G25" s="67"/>
      <c r="H25" s="67" t="s">
        <v>62</v>
      </c>
      <c r="I25" s="67" t="s">
        <v>66</v>
      </c>
      <c r="J25" s="67"/>
      <c r="K25" s="67"/>
      <c r="L25" s="67"/>
      <c r="M25" s="67"/>
    </row>
    <row r="26" spans="1:14" ht="15">
      <c r="A26" s="15" t="s">
        <v>70</v>
      </c>
      <c r="B26" s="67" t="s">
        <v>62</v>
      </c>
      <c r="C26" s="67" t="s">
        <v>66</v>
      </c>
      <c r="D26" s="67"/>
      <c r="E26" s="67" t="s">
        <v>62</v>
      </c>
      <c r="F26" s="67" t="s">
        <v>66</v>
      </c>
      <c r="G26" s="67"/>
      <c r="H26" s="67" t="s">
        <v>62</v>
      </c>
      <c r="I26" s="67" t="s">
        <v>66</v>
      </c>
      <c r="J26" s="67"/>
      <c r="K26" s="67"/>
      <c r="L26" s="67"/>
      <c r="M26" s="67"/>
    </row>
    <row r="27" spans="1:14" ht="15">
      <c r="A27" s="15" t="s">
        <v>71</v>
      </c>
      <c r="B27" s="67" t="s">
        <v>62</v>
      </c>
      <c r="C27" s="67" t="s">
        <v>66</v>
      </c>
      <c r="D27" s="67"/>
      <c r="E27" s="67" t="s">
        <v>62</v>
      </c>
      <c r="F27" s="67" t="s">
        <v>66</v>
      </c>
      <c r="G27" s="67"/>
      <c r="H27" s="67" t="s">
        <v>62</v>
      </c>
      <c r="I27" s="67" t="s">
        <v>66</v>
      </c>
      <c r="J27" s="67"/>
      <c r="K27" s="67"/>
      <c r="L27" s="67"/>
      <c r="M27" s="67"/>
    </row>
    <row r="28" spans="1:14" ht="15">
      <c r="A28" s="15" t="s">
        <v>72</v>
      </c>
      <c r="B28" s="67" t="s">
        <v>62</v>
      </c>
      <c r="C28" s="67" t="s">
        <v>66</v>
      </c>
      <c r="D28" s="67"/>
      <c r="E28" s="67" t="s">
        <v>62</v>
      </c>
      <c r="F28" s="67" t="s">
        <v>66</v>
      </c>
      <c r="G28" s="67"/>
      <c r="H28" s="67" t="s">
        <v>62</v>
      </c>
      <c r="I28" s="67" t="s">
        <v>66</v>
      </c>
      <c r="J28" s="67"/>
      <c r="K28" s="67"/>
      <c r="L28" s="67"/>
      <c r="M28" s="67"/>
    </row>
    <row r="29" spans="1:14" ht="15">
      <c r="A29" s="15" t="s">
        <v>73</v>
      </c>
      <c r="B29" s="67" t="s">
        <v>62</v>
      </c>
      <c r="C29" s="67" t="s">
        <v>66</v>
      </c>
      <c r="D29" s="67"/>
      <c r="E29" s="67" t="s">
        <v>62</v>
      </c>
      <c r="F29" s="67" t="s">
        <v>66</v>
      </c>
      <c r="G29" s="67"/>
      <c r="H29" s="67" t="s">
        <v>62</v>
      </c>
      <c r="I29" s="67" t="s">
        <v>66</v>
      </c>
      <c r="J29" s="67"/>
      <c r="K29" s="67"/>
      <c r="L29" s="67"/>
      <c r="M29" s="67"/>
    </row>
    <row r="30" spans="1:14" ht="15">
      <c r="A30" s="15" t="s">
        <v>74</v>
      </c>
      <c r="B30" s="67" t="s">
        <v>62</v>
      </c>
      <c r="C30" s="67" t="s">
        <v>66</v>
      </c>
      <c r="D30" s="67"/>
      <c r="E30" s="67" t="s">
        <v>62</v>
      </c>
      <c r="F30" s="67" t="s">
        <v>66</v>
      </c>
      <c r="G30" s="67"/>
      <c r="H30" s="67" t="s">
        <v>62</v>
      </c>
      <c r="I30" s="67" t="s">
        <v>66</v>
      </c>
      <c r="J30" s="67"/>
      <c r="K30" s="67"/>
      <c r="L30" s="67"/>
      <c r="M30" s="67"/>
    </row>
    <row r="31" spans="1:14">
      <c r="A31" s="94" t="s">
        <v>75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</row>
    <row r="32" spans="1:14">
      <c r="A32" s="94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</row>
    <row r="33" spans="1:14">
      <c r="A33" s="94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</row>
    <row r="35" spans="1:14" ht="15">
      <c r="A35" s="12" t="s">
        <v>76</v>
      </c>
      <c r="B35" s="92" t="s">
        <v>77</v>
      </c>
      <c r="C35" s="92"/>
      <c r="D35" s="92"/>
      <c r="E35" s="92" t="s">
        <v>78</v>
      </c>
      <c r="F35" s="92"/>
      <c r="G35" s="92"/>
      <c r="H35" s="92" t="s">
        <v>78</v>
      </c>
      <c r="I35" s="92"/>
      <c r="J35" s="92"/>
      <c r="K35" s="92"/>
      <c r="L35" s="92"/>
      <c r="M35" s="92"/>
      <c r="N35" s="64"/>
    </row>
    <row r="36" spans="1:14" ht="15">
      <c r="A36" s="12" t="s">
        <v>80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64"/>
    </row>
    <row r="37" spans="1:14" ht="15">
      <c r="A37" s="12" t="s">
        <v>13</v>
      </c>
      <c r="B37" s="95">
        <v>46067</v>
      </c>
      <c r="C37" s="92"/>
      <c r="D37" s="92"/>
      <c r="E37" s="92" t="s">
        <v>83</v>
      </c>
      <c r="F37" s="92"/>
      <c r="G37" s="92"/>
      <c r="H37" s="92" t="s">
        <v>84</v>
      </c>
      <c r="I37" s="92"/>
      <c r="J37" s="92"/>
      <c r="K37" s="92"/>
      <c r="L37" s="92"/>
      <c r="M37" s="92"/>
      <c r="N37" s="64"/>
    </row>
    <row r="38" spans="1:14" s="22" customFormat="1"/>
    <row r="39" spans="1:14" ht="15">
      <c r="A39" s="3" t="s">
        <v>47</v>
      </c>
    </row>
    <row r="40" spans="1:14" s="1" customFormat="1" ht="45">
      <c r="A40" s="63" t="s">
        <v>57</v>
      </c>
      <c r="B40" s="13" t="s">
        <v>58</v>
      </c>
      <c r="C40" s="63" t="s">
        <v>59</v>
      </c>
      <c r="D40" s="13" t="s">
        <v>60</v>
      </c>
      <c r="E40" s="13" t="s">
        <v>58</v>
      </c>
      <c r="F40" s="63" t="s">
        <v>59</v>
      </c>
      <c r="G40" s="13" t="s">
        <v>60</v>
      </c>
      <c r="H40" s="13" t="s">
        <v>58</v>
      </c>
      <c r="I40" s="63" t="s">
        <v>59</v>
      </c>
      <c r="J40" s="13" t="s">
        <v>60</v>
      </c>
      <c r="K40" s="13" t="s">
        <v>58</v>
      </c>
      <c r="L40" s="63" t="s">
        <v>59</v>
      </c>
      <c r="M40" s="13" t="s">
        <v>60</v>
      </c>
      <c r="N40" s="14"/>
    </row>
    <row r="41" spans="1:14" ht="15">
      <c r="A41" s="15" t="s">
        <v>61</v>
      </c>
      <c r="B41" s="67" t="s">
        <v>62</v>
      </c>
      <c r="C41" s="67" t="s">
        <v>66</v>
      </c>
      <c r="D41" s="66"/>
      <c r="E41" s="67"/>
      <c r="F41" s="67"/>
      <c r="G41" s="66"/>
      <c r="H41" s="67"/>
      <c r="I41" s="67"/>
      <c r="J41" s="67"/>
      <c r="K41" s="67"/>
      <c r="L41" s="67"/>
      <c r="M41" s="67"/>
    </row>
    <row r="42" spans="1:14" ht="15">
      <c r="A42" s="15" t="s">
        <v>67</v>
      </c>
      <c r="B42" s="67" t="s">
        <v>62</v>
      </c>
      <c r="C42" s="67" t="s">
        <v>66</v>
      </c>
      <c r="D42" s="66"/>
      <c r="E42" s="67"/>
      <c r="F42" s="67"/>
      <c r="G42" s="66"/>
      <c r="H42" s="67"/>
      <c r="I42" s="67"/>
      <c r="J42" s="67"/>
      <c r="K42" s="67"/>
      <c r="L42" s="67"/>
      <c r="M42" s="67"/>
    </row>
    <row r="43" spans="1:14" ht="15">
      <c r="A43" s="15" t="s">
        <v>68</v>
      </c>
      <c r="B43" s="67" t="s">
        <v>62</v>
      </c>
      <c r="C43" s="67" t="s">
        <v>66</v>
      </c>
      <c r="D43" s="66"/>
      <c r="E43" s="67"/>
      <c r="F43" s="67"/>
      <c r="G43" s="66"/>
      <c r="H43" s="67"/>
      <c r="I43" s="67"/>
      <c r="J43" s="67"/>
      <c r="K43" s="67"/>
      <c r="L43" s="67"/>
      <c r="M43" s="67"/>
    </row>
    <row r="44" spans="1:14" ht="15">
      <c r="A44" s="15" t="s">
        <v>69</v>
      </c>
      <c r="B44" s="67" t="s">
        <v>62</v>
      </c>
      <c r="C44" s="67" t="s">
        <v>66</v>
      </c>
      <c r="D44" s="66"/>
      <c r="E44" s="67"/>
      <c r="F44" s="67"/>
      <c r="G44" s="66"/>
      <c r="H44" s="67"/>
      <c r="I44" s="67"/>
      <c r="J44" s="67"/>
      <c r="K44" s="67"/>
      <c r="L44" s="67"/>
      <c r="M44" s="67"/>
    </row>
    <row r="45" spans="1:14" ht="15">
      <c r="A45" s="15" t="s">
        <v>70</v>
      </c>
      <c r="B45" s="67" t="s">
        <v>62</v>
      </c>
      <c r="C45" s="67" t="s">
        <v>66</v>
      </c>
      <c r="D45" s="66"/>
      <c r="E45" s="67"/>
      <c r="F45" s="67"/>
      <c r="G45" s="66"/>
      <c r="H45" s="67"/>
      <c r="I45" s="67"/>
      <c r="J45" s="67"/>
      <c r="K45" s="67"/>
      <c r="L45" s="67"/>
      <c r="M45" s="67"/>
    </row>
    <row r="46" spans="1:14" ht="15">
      <c r="A46" s="15" t="s">
        <v>71</v>
      </c>
      <c r="B46" s="67" t="s">
        <v>62</v>
      </c>
      <c r="C46" s="67" t="s">
        <v>66</v>
      </c>
      <c r="D46" s="66"/>
      <c r="E46" s="67"/>
      <c r="F46" s="67"/>
      <c r="G46" s="66"/>
      <c r="H46" s="67"/>
      <c r="I46" s="67"/>
      <c r="J46" s="67"/>
      <c r="K46" s="67"/>
      <c r="L46" s="67"/>
      <c r="M46" s="67"/>
    </row>
    <row r="47" spans="1:14" ht="15">
      <c r="A47" s="15" t="s">
        <v>72</v>
      </c>
      <c r="B47" s="67" t="s">
        <v>62</v>
      </c>
      <c r="C47" s="67" t="s">
        <v>66</v>
      </c>
      <c r="D47" s="66"/>
      <c r="E47" s="67"/>
      <c r="F47" s="67"/>
      <c r="G47" s="66"/>
      <c r="H47" s="67"/>
      <c r="I47" s="67"/>
      <c r="J47" s="67"/>
      <c r="K47" s="67"/>
      <c r="L47" s="67"/>
      <c r="M47" s="67"/>
    </row>
    <row r="48" spans="1:14" ht="15">
      <c r="A48" s="15" t="s">
        <v>73</v>
      </c>
      <c r="B48" s="67" t="s">
        <v>62</v>
      </c>
      <c r="C48" s="67" t="s">
        <v>66</v>
      </c>
      <c r="D48" s="66"/>
      <c r="E48" s="67"/>
      <c r="F48" s="67"/>
      <c r="G48" s="66"/>
      <c r="H48" s="67"/>
      <c r="I48" s="67"/>
      <c r="J48" s="67"/>
      <c r="K48" s="67"/>
      <c r="L48" s="67"/>
      <c r="M48" s="67"/>
    </row>
    <row r="49" spans="1:14" ht="15">
      <c r="A49" s="15" t="s">
        <v>74</v>
      </c>
      <c r="B49" s="67"/>
      <c r="C49" s="67"/>
      <c r="D49" s="66"/>
      <c r="E49" s="67"/>
      <c r="F49" s="67"/>
      <c r="G49" s="66"/>
      <c r="H49" s="67"/>
      <c r="I49" s="67"/>
      <c r="J49" s="67"/>
      <c r="K49" s="67"/>
      <c r="L49" s="67"/>
      <c r="M49" s="67"/>
    </row>
    <row r="50" spans="1:14">
      <c r="A50" s="94" t="s">
        <v>75</v>
      </c>
      <c r="B50" s="67"/>
      <c r="C50" s="67"/>
      <c r="D50" s="66"/>
      <c r="E50" s="67"/>
      <c r="F50" s="67"/>
      <c r="G50" s="66"/>
      <c r="H50" s="67"/>
      <c r="I50" s="67"/>
      <c r="J50" s="67"/>
      <c r="K50" s="67"/>
      <c r="L50" s="67"/>
      <c r="M50" s="67"/>
    </row>
    <row r="51" spans="1:14">
      <c r="A51" s="94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</row>
    <row r="52" spans="1:14">
      <c r="A52" s="94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</row>
    <row r="54" spans="1:14" ht="15">
      <c r="A54" s="12" t="s">
        <v>76</v>
      </c>
      <c r="B54" s="95" t="s">
        <v>77</v>
      </c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64"/>
    </row>
    <row r="55" spans="1:14" ht="15">
      <c r="A55" s="12" t="s">
        <v>80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64"/>
    </row>
    <row r="56" spans="1:14" ht="15">
      <c r="A56" s="12" t="s">
        <v>13</v>
      </c>
      <c r="B56" s="93">
        <v>46082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64"/>
    </row>
    <row r="57" spans="1:14" s="22" customFormat="1"/>
    <row r="58" spans="1:14" ht="15">
      <c r="A58" s="3" t="s">
        <v>48</v>
      </c>
    </row>
    <row r="59" spans="1:14" s="1" customFormat="1" ht="45">
      <c r="A59" s="63" t="s">
        <v>57</v>
      </c>
      <c r="B59" s="13" t="s">
        <v>58</v>
      </c>
      <c r="C59" s="63" t="s">
        <v>59</v>
      </c>
      <c r="D59" s="13" t="s">
        <v>60</v>
      </c>
      <c r="E59" s="13" t="s">
        <v>58</v>
      </c>
      <c r="F59" s="63" t="s">
        <v>59</v>
      </c>
      <c r="G59" s="13" t="s">
        <v>60</v>
      </c>
      <c r="H59" s="13" t="s">
        <v>58</v>
      </c>
      <c r="I59" s="63" t="s">
        <v>59</v>
      </c>
      <c r="J59" s="13" t="s">
        <v>60</v>
      </c>
      <c r="K59" s="13" t="s">
        <v>58</v>
      </c>
      <c r="L59" s="63" t="s">
        <v>59</v>
      </c>
      <c r="M59" s="13" t="s">
        <v>60</v>
      </c>
      <c r="N59" s="14"/>
    </row>
    <row r="60" spans="1:14" ht="28.5">
      <c r="A60" s="15" t="s">
        <v>61</v>
      </c>
      <c r="B60" s="67" t="s">
        <v>62</v>
      </c>
      <c r="C60" s="13" t="s">
        <v>85</v>
      </c>
      <c r="D60" s="66"/>
      <c r="E60" s="67" t="s">
        <v>62</v>
      </c>
      <c r="F60" s="51" t="s">
        <v>86</v>
      </c>
      <c r="G60" s="67"/>
      <c r="H60" s="67" t="s">
        <v>62</v>
      </c>
      <c r="I60" s="51" t="s">
        <v>87</v>
      </c>
      <c r="J60" s="67"/>
      <c r="K60" s="67" t="s">
        <v>62</v>
      </c>
      <c r="L60" s="51" t="s">
        <v>88</v>
      </c>
      <c r="M60" s="66"/>
    </row>
    <row r="61" spans="1:14" ht="15">
      <c r="A61" s="15" t="s">
        <v>67</v>
      </c>
      <c r="B61" s="67"/>
      <c r="C61" s="67"/>
      <c r="D61" s="66"/>
      <c r="E61" s="67"/>
      <c r="F61" s="67"/>
      <c r="G61" s="67"/>
      <c r="H61" s="67"/>
      <c r="I61" s="67"/>
      <c r="J61" s="67"/>
      <c r="K61" s="67"/>
      <c r="L61" s="67"/>
      <c r="M61" s="66"/>
    </row>
    <row r="62" spans="1:14" ht="15">
      <c r="A62" s="15" t="s">
        <v>68</v>
      </c>
      <c r="B62" s="67" t="s">
        <v>62</v>
      </c>
      <c r="C62" s="13" t="s">
        <v>85</v>
      </c>
      <c r="D62" s="66"/>
      <c r="E62" s="67" t="s">
        <v>62</v>
      </c>
      <c r="F62" s="13" t="s">
        <v>85</v>
      </c>
      <c r="G62" s="67"/>
      <c r="H62" s="67" t="s">
        <v>62</v>
      </c>
      <c r="I62" s="13" t="s">
        <v>85</v>
      </c>
      <c r="J62" s="67"/>
      <c r="K62" s="67" t="s">
        <v>62</v>
      </c>
      <c r="L62" s="13" t="s">
        <v>89</v>
      </c>
      <c r="M62" s="66"/>
    </row>
    <row r="63" spans="1:14" ht="15">
      <c r="A63" s="15" t="s">
        <v>69</v>
      </c>
      <c r="B63" s="67" t="s">
        <v>62</v>
      </c>
      <c r="C63" s="13" t="s">
        <v>85</v>
      </c>
      <c r="D63" s="66"/>
      <c r="E63" s="67" t="s">
        <v>62</v>
      </c>
      <c r="F63" s="13" t="s">
        <v>85</v>
      </c>
      <c r="G63" s="67"/>
      <c r="H63" s="67" t="s">
        <v>62</v>
      </c>
      <c r="I63" s="13" t="s">
        <v>85</v>
      </c>
      <c r="J63" s="67"/>
      <c r="K63" s="67" t="s">
        <v>62</v>
      </c>
      <c r="L63" s="13" t="s">
        <v>89</v>
      </c>
      <c r="M63" s="66"/>
    </row>
    <row r="64" spans="1:14" ht="15">
      <c r="A64" s="15" t="s">
        <v>70</v>
      </c>
      <c r="B64" s="67" t="s">
        <v>62</v>
      </c>
      <c r="C64" s="13" t="s">
        <v>85</v>
      </c>
      <c r="D64" s="66"/>
      <c r="E64" s="67" t="s">
        <v>62</v>
      </c>
      <c r="F64" s="13" t="s">
        <v>85</v>
      </c>
      <c r="G64" s="67"/>
      <c r="H64" s="67" t="s">
        <v>62</v>
      </c>
      <c r="I64" s="13" t="s">
        <v>85</v>
      </c>
      <c r="J64" s="67"/>
      <c r="K64" s="67" t="s">
        <v>62</v>
      </c>
      <c r="L64" s="13" t="s">
        <v>89</v>
      </c>
      <c r="M64" s="66"/>
    </row>
    <row r="65" spans="1:14" ht="15">
      <c r="A65" s="15" t="s">
        <v>71</v>
      </c>
      <c r="B65" s="67" t="s">
        <v>62</v>
      </c>
      <c r="C65" s="13" t="s">
        <v>85</v>
      </c>
      <c r="D65" s="66"/>
      <c r="E65" s="67" t="s">
        <v>62</v>
      </c>
      <c r="F65" s="13" t="s">
        <v>85</v>
      </c>
      <c r="G65" s="67"/>
      <c r="H65" s="67" t="s">
        <v>62</v>
      </c>
      <c r="I65" s="13" t="s">
        <v>85</v>
      </c>
      <c r="J65" s="67"/>
      <c r="K65" s="67" t="s">
        <v>62</v>
      </c>
      <c r="L65" s="13" t="s">
        <v>89</v>
      </c>
      <c r="M65" s="66"/>
    </row>
    <row r="66" spans="1:14" ht="15">
      <c r="A66" s="15" t="s">
        <v>72</v>
      </c>
      <c r="B66" s="67" t="s">
        <v>62</v>
      </c>
      <c r="C66" s="13" t="s">
        <v>85</v>
      </c>
      <c r="D66" s="66"/>
      <c r="E66" s="67" t="s">
        <v>62</v>
      </c>
      <c r="F66" s="13" t="s">
        <v>85</v>
      </c>
      <c r="G66" s="67"/>
      <c r="H66" s="67" t="s">
        <v>62</v>
      </c>
      <c r="I66" s="13" t="s">
        <v>85</v>
      </c>
      <c r="J66" s="67"/>
      <c r="K66" s="67" t="s">
        <v>62</v>
      </c>
      <c r="L66" s="13" t="s">
        <v>89</v>
      </c>
      <c r="M66" s="66"/>
    </row>
    <row r="67" spans="1:14" ht="15">
      <c r="A67" s="15" t="s">
        <v>73</v>
      </c>
      <c r="B67" s="67" t="s">
        <v>62</v>
      </c>
      <c r="C67" s="13" t="s">
        <v>85</v>
      </c>
      <c r="D67" s="66"/>
      <c r="E67" s="67" t="s">
        <v>62</v>
      </c>
      <c r="F67" s="13" t="s">
        <v>85</v>
      </c>
      <c r="G67" s="67"/>
      <c r="H67" s="67" t="s">
        <v>62</v>
      </c>
      <c r="I67" s="13" t="s">
        <v>85</v>
      </c>
      <c r="J67" s="67"/>
      <c r="K67" s="67" t="s">
        <v>62</v>
      </c>
      <c r="L67" s="13" t="s">
        <v>89</v>
      </c>
      <c r="M67" s="66"/>
    </row>
    <row r="68" spans="1:14" ht="15">
      <c r="A68" s="15" t="s">
        <v>74</v>
      </c>
      <c r="B68" s="67" t="s">
        <v>62</v>
      </c>
      <c r="C68" s="13" t="s">
        <v>85</v>
      </c>
      <c r="D68" s="66"/>
      <c r="E68" s="67" t="s">
        <v>62</v>
      </c>
      <c r="F68" s="13" t="s">
        <v>85</v>
      </c>
      <c r="G68" s="67"/>
      <c r="H68" s="67" t="s">
        <v>62</v>
      </c>
      <c r="I68" s="13" t="s">
        <v>85</v>
      </c>
      <c r="J68" s="67"/>
      <c r="K68" s="67" t="s">
        <v>62</v>
      </c>
      <c r="L68" s="13" t="s">
        <v>89</v>
      </c>
      <c r="M68" s="66"/>
    </row>
    <row r="69" spans="1:14">
      <c r="A69" s="94" t="s">
        <v>75</v>
      </c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6"/>
    </row>
    <row r="70" spans="1:14">
      <c r="A70" s="94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6"/>
    </row>
    <row r="71" spans="1:14">
      <c r="A71" s="94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</row>
    <row r="73" spans="1:14" ht="15">
      <c r="A73" s="12" t="s">
        <v>76</v>
      </c>
      <c r="B73" s="92" t="s">
        <v>90</v>
      </c>
      <c r="C73" s="92"/>
      <c r="D73" s="92"/>
      <c r="E73" s="92" t="s">
        <v>90</v>
      </c>
      <c r="F73" s="92"/>
      <c r="G73" s="92"/>
      <c r="H73" s="92" t="s">
        <v>90</v>
      </c>
      <c r="I73" s="92"/>
      <c r="J73" s="92"/>
      <c r="K73" s="92" t="s">
        <v>90</v>
      </c>
      <c r="L73" s="92"/>
      <c r="M73" s="92"/>
      <c r="N73" s="64"/>
    </row>
    <row r="74" spans="1:14" ht="15">
      <c r="A74" s="12" t="s">
        <v>80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64"/>
    </row>
    <row r="75" spans="1:14" ht="15">
      <c r="A75" s="12" t="s">
        <v>13</v>
      </c>
      <c r="B75" s="93">
        <v>46117</v>
      </c>
      <c r="C75" s="93"/>
      <c r="D75" s="93"/>
      <c r="E75" s="93">
        <v>46124</v>
      </c>
      <c r="F75" s="93"/>
      <c r="G75" s="93"/>
      <c r="H75" s="93">
        <v>46131</v>
      </c>
      <c r="I75" s="93"/>
      <c r="J75" s="93"/>
      <c r="K75" s="93">
        <v>46138</v>
      </c>
      <c r="L75" s="93"/>
      <c r="M75" s="93"/>
      <c r="N75" s="64"/>
    </row>
    <row r="76" spans="1:14" s="22" customFormat="1"/>
    <row r="77" spans="1:14" ht="15">
      <c r="A77" s="3" t="s">
        <v>49</v>
      </c>
    </row>
    <row r="78" spans="1:14" s="1" customFormat="1" ht="45">
      <c r="A78" s="63" t="s">
        <v>57</v>
      </c>
      <c r="B78" s="13" t="s">
        <v>58</v>
      </c>
      <c r="C78" s="63" t="s">
        <v>59</v>
      </c>
      <c r="D78" s="13" t="s">
        <v>60</v>
      </c>
      <c r="E78" s="13" t="s">
        <v>58</v>
      </c>
      <c r="F78" s="63" t="s">
        <v>59</v>
      </c>
      <c r="G78" s="13" t="s">
        <v>60</v>
      </c>
      <c r="H78" s="13" t="s">
        <v>58</v>
      </c>
      <c r="I78" s="63" t="s">
        <v>59</v>
      </c>
      <c r="J78" s="13" t="s">
        <v>60</v>
      </c>
      <c r="K78" s="13" t="s">
        <v>58</v>
      </c>
      <c r="L78" s="63" t="s">
        <v>59</v>
      </c>
      <c r="M78" s="13" t="s">
        <v>60</v>
      </c>
      <c r="N78" s="14"/>
    </row>
    <row r="79" spans="1:14" ht="28.5">
      <c r="A79" s="15" t="s">
        <v>61</v>
      </c>
      <c r="B79" s="67" t="s">
        <v>62</v>
      </c>
      <c r="C79" s="51" t="s">
        <v>91</v>
      </c>
      <c r="D79" s="66"/>
      <c r="E79" s="67" t="s">
        <v>62</v>
      </c>
      <c r="F79" s="67" t="s">
        <v>92</v>
      </c>
      <c r="G79" s="66">
        <v>46147</v>
      </c>
      <c r="H79" s="67" t="s">
        <v>62</v>
      </c>
      <c r="I79" s="13" t="s">
        <v>85</v>
      </c>
      <c r="J79" s="67"/>
      <c r="K79" s="67" t="s">
        <v>62</v>
      </c>
      <c r="L79" s="13" t="s">
        <v>85</v>
      </c>
      <c r="M79" s="67"/>
    </row>
    <row r="80" spans="1:14" ht="15">
      <c r="A80" s="15" t="s">
        <v>67</v>
      </c>
      <c r="B80" s="67"/>
      <c r="C80" s="67"/>
      <c r="D80" s="66"/>
      <c r="E80" s="67"/>
      <c r="F80" s="67"/>
      <c r="G80" s="66"/>
      <c r="H80" s="67"/>
      <c r="I80" s="67"/>
      <c r="J80" s="67"/>
      <c r="K80" s="67"/>
      <c r="L80" s="67"/>
      <c r="M80" s="67"/>
    </row>
    <row r="81" spans="1:14" ht="15">
      <c r="A81" s="15" t="s">
        <v>68</v>
      </c>
      <c r="B81" s="67" t="s">
        <v>62</v>
      </c>
      <c r="C81" s="13" t="s">
        <v>85</v>
      </c>
      <c r="D81" s="66"/>
      <c r="E81" s="67" t="s">
        <v>62</v>
      </c>
      <c r="F81" s="13" t="s">
        <v>85</v>
      </c>
      <c r="G81" s="66"/>
      <c r="H81" s="67" t="s">
        <v>62</v>
      </c>
      <c r="I81" s="13" t="s">
        <v>85</v>
      </c>
      <c r="J81" s="67"/>
      <c r="K81" s="67" t="s">
        <v>62</v>
      </c>
      <c r="L81" s="13" t="s">
        <v>85</v>
      </c>
      <c r="M81" s="67"/>
    </row>
    <row r="82" spans="1:14" ht="15">
      <c r="A82" s="15" t="s">
        <v>69</v>
      </c>
      <c r="B82" s="67" t="s">
        <v>62</v>
      </c>
      <c r="C82" s="13" t="s">
        <v>85</v>
      </c>
      <c r="D82" s="66"/>
      <c r="E82" s="67" t="s">
        <v>62</v>
      </c>
      <c r="F82" s="13" t="s">
        <v>85</v>
      </c>
      <c r="G82" s="66"/>
      <c r="H82" s="67" t="s">
        <v>62</v>
      </c>
      <c r="I82" s="13" t="s">
        <v>85</v>
      </c>
      <c r="J82" s="67"/>
      <c r="K82" s="67" t="s">
        <v>62</v>
      </c>
      <c r="L82" s="13" t="s">
        <v>85</v>
      </c>
      <c r="M82" s="67"/>
    </row>
    <row r="83" spans="1:14" ht="15">
      <c r="A83" s="15" t="s">
        <v>70</v>
      </c>
      <c r="B83" s="67" t="s">
        <v>62</v>
      </c>
      <c r="C83" s="53" t="s">
        <v>85</v>
      </c>
      <c r="D83" s="66"/>
      <c r="E83" s="67" t="s">
        <v>62</v>
      </c>
      <c r="F83" s="13" t="s">
        <v>85</v>
      </c>
      <c r="G83" s="66"/>
      <c r="H83" s="67" t="s">
        <v>62</v>
      </c>
      <c r="I83" s="13" t="s">
        <v>85</v>
      </c>
      <c r="J83" s="67"/>
      <c r="K83" s="67" t="s">
        <v>62</v>
      </c>
      <c r="L83" s="13" t="s">
        <v>85</v>
      </c>
      <c r="M83" s="67"/>
    </row>
    <row r="84" spans="1:14" ht="15">
      <c r="A84" s="15" t="s">
        <v>71</v>
      </c>
      <c r="B84" s="67" t="s">
        <v>62</v>
      </c>
      <c r="C84" s="13" t="s">
        <v>85</v>
      </c>
      <c r="D84" s="66"/>
      <c r="E84" s="67" t="s">
        <v>62</v>
      </c>
      <c r="F84" s="13" t="s">
        <v>85</v>
      </c>
      <c r="G84" s="66"/>
      <c r="H84" s="67" t="s">
        <v>62</v>
      </c>
      <c r="I84" s="13" t="s">
        <v>85</v>
      </c>
      <c r="J84" s="67"/>
      <c r="K84" s="67" t="s">
        <v>62</v>
      </c>
      <c r="L84" s="13" t="s">
        <v>85</v>
      </c>
      <c r="M84" s="67"/>
    </row>
    <row r="85" spans="1:14" ht="15">
      <c r="A85" s="15" t="s">
        <v>72</v>
      </c>
      <c r="B85" s="67" t="s">
        <v>62</v>
      </c>
      <c r="C85" s="13" t="s">
        <v>85</v>
      </c>
      <c r="D85" s="66"/>
      <c r="E85" s="67" t="s">
        <v>62</v>
      </c>
      <c r="F85" s="13" t="s">
        <v>85</v>
      </c>
      <c r="G85" s="66"/>
      <c r="H85" s="67" t="s">
        <v>62</v>
      </c>
      <c r="I85" s="13" t="s">
        <v>85</v>
      </c>
      <c r="J85" s="67"/>
      <c r="K85" s="67" t="s">
        <v>62</v>
      </c>
      <c r="L85" s="13" t="s">
        <v>85</v>
      </c>
      <c r="M85" s="67"/>
    </row>
    <row r="86" spans="1:14" ht="15">
      <c r="A86" s="15" t="s">
        <v>73</v>
      </c>
      <c r="B86" s="67" t="s">
        <v>62</v>
      </c>
      <c r="C86" s="13" t="s">
        <v>85</v>
      </c>
      <c r="D86" s="66"/>
      <c r="E86" s="67" t="s">
        <v>62</v>
      </c>
      <c r="F86" s="13" t="s">
        <v>85</v>
      </c>
      <c r="G86" s="66"/>
      <c r="H86" s="67" t="s">
        <v>62</v>
      </c>
      <c r="I86" s="13" t="s">
        <v>85</v>
      </c>
      <c r="J86" s="67"/>
      <c r="K86" s="67" t="s">
        <v>62</v>
      </c>
      <c r="L86" s="13" t="s">
        <v>85</v>
      </c>
      <c r="M86" s="67"/>
    </row>
    <row r="87" spans="1:14" ht="15">
      <c r="A87" s="15" t="s">
        <v>74</v>
      </c>
      <c r="B87" s="67" t="s">
        <v>62</v>
      </c>
      <c r="C87" s="13" t="s">
        <v>85</v>
      </c>
      <c r="D87" s="66"/>
      <c r="E87" s="67" t="s">
        <v>62</v>
      </c>
      <c r="F87" s="13" t="s">
        <v>85</v>
      </c>
      <c r="G87" s="66"/>
      <c r="H87" s="67" t="s">
        <v>62</v>
      </c>
      <c r="I87" s="13" t="s">
        <v>85</v>
      </c>
      <c r="J87" s="67"/>
      <c r="K87" s="67" t="s">
        <v>62</v>
      </c>
      <c r="L87" s="13" t="s">
        <v>85</v>
      </c>
      <c r="M87" s="67"/>
    </row>
    <row r="88" spans="1:14" ht="42.75">
      <c r="A88" s="94" t="s">
        <v>75</v>
      </c>
      <c r="B88" s="67"/>
      <c r="C88" s="67"/>
      <c r="D88" s="67"/>
      <c r="E88" s="67"/>
      <c r="F88" s="67"/>
      <c r="G88" s="66"/>
      <c r="H88" s="67"/>
      <c r="I88" s="67"/>
      <c r="J88" s="67"/>
      <c r="K88" s="67" t="s">
        <v>62</v>
      </c>
      <c r="L88" s="51" t="s">
        <v>93</v>
      </c>
      <c r="M88" s="67" t="s">
        <v>94</v>
      </c>
    </row>
    <row r="89" spans="1:14">
      <c r="A89" s="94"/>
      <c r="B89" s="67"/>
      <c r="C89" s="67"/>
      <c r="D89" s="67"/>
      <c r="E89" s="67"/>
      <c r="F89" s="67"/>
      <c r="G89" s="66"/>
      <c r="H89" s="67"/>
      <c r="I89" s="67"/>
      <c r="J89" s="67"/>
      <c r="K89" s="67"/>
      <c r="L89" s="67"/>
      <c r="M89" s="67"/>
    </row>
    <row r="90" spans="1:14">
      <c r="A90" s="94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</row>
    <row r="92" spans="1:14" ht="15">
      <c r="A92" s="12" t="s">
        <v>76</v>
      </c>
      <c r="B92" s="92" t="s">
        <v>90</v>
      </c>
      <c r="C92" s="92"/>
      <c r="D92" s="92"/>
      <c r="E92" s="92" t="s">
        <v>90</v>
      </c>
      <c r="F92" s="92"/>
      <c r="G92" s="92"/>
      <c r="H92" s="92" t="s">
        <v>90</v>
      </c>
      <c r="I92" s="92"/>
      <c r="J92" s="92"/>
      <c r="K92" s="92" t="s">
        <v>90</v>
      </c>
      <c r="L92" s="92"/>
      <c r="M92" s="92"/>
      <c r="N92" s="64"/>
    </row>
    <row r="93" spans="1:14" ht="15">
      <c r="A93" s="12" t="s">
        <v>80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64"/>
    </row>
    <row r="94" spans="1:14" ht="15">
      <c r="A94" s="12" t="s">
        <v>13</v>
      </c>
      <c r="B94" s="93">
        <v>46145</v>
      </c>
      <c r="C94" s="93"/>
      <c r="D94" s="93"/>
      <c r="E94" s="93">
        <v>46152</v>
      </c>
      <c r="F94" s="93"/>
      <c r="G94" s="93"/>
      <c r="H94" s="93">
        <v>46159</v>
      </c>
      <c r="I94" s="93"/>
      <c r="J94" s="93"/>
      <c r="K94" s="93">
        <v>46166</v>
      </c>
      <c r="L94" s="93"/>
      <c r="M94" s="93"/>
      <c r="N94" s="64"/>
    </row>
    <row r="95" spans="1:14" s="22" customFormat="1"/>
    <row r="96" spans="1:14" ht="15">
      <c r="A96" s="3" t="s">
        <v>50</v>
      </c>
    </row>
    <row r="97" spans="1:14" s="1" customFormat="1" ht="45">
      <c r="A97" s="63" t="s">
        <v>57</v>
      </c>
      <c r="B97" s="13" t="s">
        <v>58</v>
      </c>
      <c r="C97" s="63" t="s">
        <v>59</v>
      </c>
      <c r="D97" s="13" t="s">
        <v>60</v>
      </c>
      <c r="E97" s="13" t="s">
        <v>58</v>
      </c>
      <c r="F97" s="63" t="s">
        <v>59</v>
      </c>
      <c r="G97" s="13" t="s">
        <v>60</v>
      </c>
      <c r="H97" s="13" t="s">
        <v>58</v>
      </c>
      <c r="I97" s="63" t="s">
        <v>59</v>
      </c>
      <c r="J97" s="13" t="s">
        <v>60</v>
      </c>
      <c r="K97" s="13" t="s">
        <v>58</v>
      </c>
      <c r="L97" s="63" t="s">
        <v>59</v>
      </c>
      <c r="M97" s="13" t="s">
        <v>60</v>
      </c>
      <c r="N97" s="14"/>
    </row>
    <row r="98" spans="1:14" ht="42.75">
      <c r="A98" s="15" t="s">
        <v>61</v>
      </c>
      <c r="B98" s="67" t="s">
        <v>62</v>
      </c>
      <c r="C98" s="51" t="s">
        <v>95</v>
      </c>
      <c r="D98" s="66" t="s">
        <v>94</v>
      </c>
      <c r="E98" s="67" t="s">
        <v>62</v>
      </c>
      <c r="F98" s="51" t="s">
        <v>95</v>
      </c>
      <c r="G98" s="67" t="s">
        <v>94</v>
      </c>
      <c r="H98" s="67" t="s">
        <v>62</v>
      </c>
      <c r="I98" s="51" t="s">
        <v>95</v>
      </c>
      <c r="J98" s="67" t="s">
        <v>94</v>
      </c>
      <c r="K98" s="67" t="s">
        <v>62</v>
      </c>
      <c r="L98" s="51" t="s">
        <v>96</v>
      </c>
      <c r="M98" s="67" t="s">
        <v>94</v>
      </c>
    </row>
    <row r="99" spans="1:14" ht="15">
      <c r="A99" s="15" t="s">
        <v>67</v>
      </c>
      <c r="B99" s="67"/>
      <c r="C99" s="67"/>
      <c r="D99" s="66"/>
      <c r="E99" s="67"/>
      <c r="F99" s="67"/>
      <c r="G99" s="67"/>
      <c r="H99" s="67"/>
      <c r="I99" s="67"/>
      <c r="J99" s="67"/>
      <c r="K99" s="67"/>
      <c r="L99" s="67"/>
      <c r="M99" s="67"/>
    </row>
    <row r="100" spans="1:14" ht="15">
      <c r="A100" s="15" t="s">
        <v>68</v>
      </c>
      <c r="B100" s="67" t="s">
        <v>62</v>
      </c>
      <c r="C100" s="67" t="s">
        <v>85</v>
      </c>
      <c r="D100" s="66"/>
      <c r="E100" s="67" t="s">
        <v>62</v>
      </c>
      <c r="F100" s="67" t="s">
        <v>85</v>
      </c>
      <c r="G100" s="67"/>
      <c r="H100" s="67" t="s">
        <v>62</v>
      </c>
      <c r="I100" s="67" t="s">
        <v>85</v>
      </c>
      <c r="J100" s="67"/>
      <c r="K100" s="67" t="s">
        <v>62</v>
      </c>
      <c r="L100" s="67" t="s">
        <v>85</v>
      </c>
      <c r="M100" s="67"/>
    </row>
    <row r="101" spans="1:14" ht="15">
      <c r="A101" s="15" t="s">
        <v>69</v>
      </c>
      <c r="B101" s="67" t="s">
        <v>62</v>
      </c>
      <c r="C101" s="67" t="s">
        <v>85</v>
      </c>
      <c r="D101" s="66"/>
      <c r="E101" s="67" t="s">
        <v>62</v>
      </c>
      <c r="F101" s="67" t="s">
        <v>85</v>
      </c>
      <c r="G101" s="67"/>
      <c r="H101" s="67" t="s">
        <v>62</v>
      </c>
      <c r="I101" s="67" t="s">
        <v>85</v>
      </c>
      <c r="J101" s="67"/>
      <c r="K101" s="67" t="s">
        <v>62</v>
      </c>
      <c r="L101" s="67" t="s">
        <v>85</v>
      </c>
      <c r="M101" s="67"/>
    </row>
    <row r="102" spans="1:14" ht="15">
      <c r="A102" s="15" t="s">
        <v>70</v>
      </c>
      <c r="B102" s="67" t="s">
        <v>62</v>
      </c>
      <c r="C102" s="67" t="s">
        <v>85</v>
      </c>
      <c r="D102" s="66"/>
      <c r="E102" s="67" t="s">
        <v>62</v>
      </c>
      <c r="F102" s="67" t="s">
        <v>85</v>
      </c>
      <c r="G102" s="67"/>
      <c r="H102" s="67" t="s">
        <v>62</v>
      </c>
      <c r="I102" s="67" t="s">
        <v>85</v>
      </c>
      <c r="J102" s="67"/>
      <c r="K102" s="67" t="s">
        <v>62</v>
      </c>
      <c r="L102" s="67" t="s">
        <v>85</v>
      </c>
      <c r="M102" s="67"/>
    </row>
    <row r="103" spans="1:14" ht="15">
      <c r="A103" s="15" t="s">
        <v>71</v>
      </c>
      <c r="B103" s="67" t="s">
        <v>62</v>
      </c>
      <c r="C103" s="67" t="s">
        <v>85</v>
      </c>
      <c r="D103" s="66"/>
      <c r="E103" s="67" t="s">
        <v>62</v>
      </c>
      <c r="F103" s="67" t="s">
        <v>85</v>
      </c>
      <c r="G103" s="67"/>
      <c r="H103" s="67" t="s">
        <v>62</v>
      </c>
      <c r="I103" s="67" t="s">
        <v>85</v>
      </c>
      <c r="J103" s="67"/>
      <c r="K103" s="67" t="s">
        <v>62</v>
      </c>
      <c r="L103" s="67" t="s">
        <v>85</v>
      </c>
      <c r="M103" s="67"/>
    </row>
    <row r="104" spans="1:14" ht="15">
      <c r="A104" s="15" t="s">
        <v>72</v>
      </c>
      <c r="B104" s="67" t="s">
        <v>62</v>
      </c>
      <c r="C104" s="67" t="s">
        <v>85</v>
      </c>
      <c r="D104" s="66"/>
      <c r="E104" s="67" t="s">
        <v>62</v>
      </c>
      <c r="F104" s="67" t="s">
        <v>85</v>
      </c>
      <c r="G104" s="67"/>
      <c r="H104" s="67" t="s">
        <v>62</v>
      </c>
      <c r="I104" s="67" t="s">
        <v>85</v>
      </c>
      <c r="J104" s="67"/>
      <c r="K104" s="67" t="s">
        <v>62</v>
      </c>
      <c r="L104" s="67" t="s">
        <v>85</v>
      </c>
      <c r="M104" s="67"/>
    </row>
    <row r="105" spans="1:14" ht="15">
      <c r="A105" s="15" t="s">
        <v>73</v>
      </c>
      <c r="B105" s="67" t="s">
        <v>62</v>
      </c>
      <c r="C105" s="67" t="s">
        <v>85</v>
      </c>
      <c r="D105" s="66"/>
      <c r="E105" s="67" t="s">
        <v>62</v>
      </c>
      <c r="F105" s="67" t="s">
        <v>85</v>
      </c>
      <c r="G105" s="67"/>
      <c r="H105" s="67" t="s">
        <v>62</v>
      </c>
      <c r="I105" s="67" t="s">
        <v>85</v>
      </c>
      <c r="J105" s="67"/>
      <c r="K105" s="67" t="s">
        <v>62</v>
      </c>
      <c r="L105" s="67" t="s">
        <v>85</v>
      </c>
      <c r="M105" s="67"/>
    </row>
    <row r="106" spans="1:14" ht="15">
      <c r="A106" s="15" t="s">
        <v>74</v>
      </c>
      <c r="B106" s="67" t="s">
        <v>62</v>
      </c>
      <c r="C106" s="67" t="s">
        <v>85</v>
      </c>
      <c r="D106" s="66"/>
      <c r="E106" s="67" t="s">
        <v>62</v>
      </c>
      <c r="F106" s="67" t="s">
        <v>85</v>
      </c>
      <c r="G106" s="67"/>
      <c r="H106" s="67" t="s">
        <v>62</v>
      </c>
      <c r="I106" s="67" t="s">
        <v>85</v>
      </c>
      <c r="J106" s="67"/>
      <c r="K106" s="67" t="s">
        <v>62</v>
      </c>
      <c r="L106" s="67" t="s">
        <v>85</v>
      </c>
      <c r="M106" s="67"/>
    </row>
    <row r="107" spans="1:14" ht="42.75">
      <c r="A107" s="94" t="s">
        <v>75</v>
      </c>
      <c r="B107" s="67" t="s">
        <v>62</v>
      </c>
      <c r="C107" s="51" t="s">
        <v>93</v>
      </c>
      <c r="D107" s="67" t="s">
        <v>94</v>
      </c>
      <c r="E107" s="67" t="s">
        <v>62</v>
      </c>
      <c r="F107" s="51" t="s">
        <v>93</v>
      </c>
      <c r="G107" s="67" t="s">
        <v>94</v>
      </c>
      <c r="H107" s="67" t="s">
        <v>62</v>
      </c>
      <c r="I107" s="51" t="s">
        <v>93</v>
      </c>
      <c r="J107" s="67" t="s">
        <v>94</v>
      </c>
      <c r="K107" s="67" t="s">
        <v>62</v>
      </c>
      <c r="L107" s="51" t="s">
        <v>93</v>
      </c>
      <c r="M107" s="67" t="s">
        <v>94</v>
      </c>
    </row>
    <row r="108" spans="1:14">
      <c r="A108" s="94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</row>
    <row r="109" spans="1:14">
      <c r="A109" s="94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</row>
    <row r="111" spans="1:14" ht="15">
      <c r="A111" s="12" t="s">
        <v>76</v>
      </c>
      <c r="B111" s="92" t="s">
        <v>90</v>
      </c>
      <c r="C111" s="92"/>
      <c r="D111" s="92"/>
      <c r="E111" s="92" t="s">
        <v>90</v>
      </c>
      <c r="F111" s="92"/>
      <c r="G111" s="92"/>
      <c r="H111" s="92" t="s">
        <v>90</v>
      </c>
      <c r="I111" s="92"/>
      <c r="J111" s="92"/>
      <c r="K111" s="92" t="s">
        <v>90</v>
      </c>
      <c r="L111" s="92"/>
      <c r="M111" s="92"/>
      <c r="N111" s="64"/>
    </row>
    <row r="112" spans="1:14" ht="15">
      <c r="A112" s="12" t="s">
        <v>80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64"/>
    </row>
    <row r="113" spans="1:14" ht="15">
      <c r="A113" s="12" t="s">
        <v>13</v>
      </c>
      <c r="B113" s="93">
        <v>46180</v>
      </c>
      <c r="C113" s="93"/>
      <c r="D113" s="93"/>
      <c r="E113" s="93">
        <v>46187</v>
      </c>
      <c r="F113" s="93"/>
      <c r="G113" s="93"/>
      <c r="H113" s="93">
        <v>46194</v>
      </c>
      <c r="I113" s="93"/>
      <c r="J113" s="93"/>
      <c r="K113" s="93">
        <v>46201</v>
      </c>
      <c r="L113" s="93"/>
      <c r="M113" s="93"/>
      <c r="N113" s="64"/>
    </row>
    <row r="114" spans="1:14" s="22" customFormat="1"/>
    <row r="115" spans="1:14" ht="15">
      <c r="A115" s="3" t="s">
        <v>51</v>
      </c>
    </row>
    <row r="116" spans="1:14" s="1" customFormat="1" ht="45">
      <c r="A116" s="63" t="s">
        <v>57</v>
      </c>
      <c r="B116" s="13" t="s">
        <v>58</v>
      </c>
      <c r="C116" s="63" t="s">
        <v>59</v>
      </c>
      <c r="D116" s="13" t="s">
        <v>60</v>
      </c>
      <c r="E116" s="13" t="s">
        <v>58</v>
      </c>
      <c r="F116" s="63" t="s">
        <v>59</v>
      </c>
      <c r="G116" s="13" t="s">
        <v>60</v>
      </c>
      <c r="H116" s="13" t="s">
        <v>58</v>
      </c>
      <c r="I116" s="63" t="s">
        <v>59</v>
      </c>
      <c r="J116" s="13" t="s">
        <v>60</v>
      </c>
      <c r="K116" s="13" t="s">
        <v>58</v>
      </c>
      <c r="L116" s="63" t="s">
        <v>59</v>
      </c>
      <c r="M116" s="13" t="s">
        <v>60</v>
      </c>
      <c r="N116" s="14"/>
    </row>
    <row r="117" spans="1:14" ht="85.5">
      <c r="A117" s="15" t="s">
        <v>61</v>
      </c>
      <c r="B117" s="67" t="s">
        <v>62</v>
      </c>
      <c r="C117" s="51" t="s">
        <v>97</v>
      </c>
      <c r="D117" s="66" t="s">
        <v>94</v>
      </c>
      <c r="E117" s="67" t="s">
        <v>62</v>
      </c>
      <c r="F117" s="51" t="s">
        <v>98</v>
      </c>
      <c r="G117" s="67" t="s">
        <v>94</v>
      </c>
      <c r="H117" s="67" t="s">
        <v>62</v>
      </c>
      <c r="I117" s="51" t="s">
        <v>98</v>
      </c>
      <c r="J117" s="67" t="s">
        <v>94</v>
      </c>
      <c r="K117" s="67" t="s">
        <v>62</v>
      </c>
      <c r="L117" s="67" t="s">
        <v>99</v>
      </c>
      <c r="M117" s="67" t="s">
        <v>94</v>
      </c>
    </row>
    <row r="118" spans="1:14" ht="15">
      <c r="A118" s="15" t="s">
        <v>67</v>
      </c>
      <c r="B118" s="67"/>
      <c r="C118" s="67"/>
      <c r="D118" s="66"/>
      <c r="E118" s="67"/>
      <c r="F118" s="67"/>
      <c r="G118" s="67"/>
      <c r="H118" s="67"/>
      <c r="I118" s="67"/>
      <c r="J118" s="67"/>
      <c r="K118" s="67"/>
      <c r="L118" s="67"/>
      <c r="M118" s="67"/>
    </row>
    <row r="119" spans="1:14" ht="15">
      <c r="A119" s="15" t="s">
        <v>68</v>
      </c>
      <c r="B119" s="67" t="s">
        <v>62</v>
      </c>
      <c r="C119" s="67" t="s">
        <v>85</v>
      </c>
      <c r="D119" s="66"/>
      <c r="E119" s="67" t="s">
        <v>62</v>
      </c>
      <c r="F119" s="67" t="s">
        <v>85</v>
      </c>
      <c r="G119" s="67"/>
      <c r="H119" s="67" t="s">
        <v>62</v>
      </c>
      <c r="I119" s="67" t="s">
        <v>85</v>
      </c>
      <c r="J119" s="67"/>
      <c r="K119" s="67" t="s">
        <v>62</v>
      </c>
      <c r="L119" s="67" t="s">
        <v>85</v>
      </c>
      <c r="M119" s="67"/>
    </row>
    <row r="120" spans="1:14" ht="15">
      <c r="A120" s="15" t="s">
        <v>69</v>
      </c>
      <c r="B120" s="67" t="s">
        <v>62</v>
      </c>
      <c r="C120" s="67" t="s">
        <v>85</v>
      </c>
      <c r="D120" s="66"/>
      <c r="E120" s="67" t="s">
        <v>62</v>
      </c>
      <c r="F120" s="67" t="s">
        <v>85</v>
      </c>
      <c r="G120" s="67"/>
      <c r="H120" s="67" t="s">
        <v>62</v>
      </c>
      <c r="I120" s="67" t="s">
        <v>85</v>
      </c>
      <c r="J120" s="67"/>
      <c r="K120" s="67" t="s">
        <v>62</v>
      </c>
      <c r="L120" s="67" t="s">
        <v>85</v>
      </c>
      <c r="M120" s="67"/>
    </row>
    <row r="121" spans="1:14" ht="15">
      <c r="A121" s="15" t="s">
        <v>70</v>
      </c>
      <c r="B121" s="67" t="s">
        <v>62</v>
      </c>
      <c r="C121" s="67" t="s">
        <v>85</v>
      </c>
      <c r="D121" s="66"/>
      <c r="E121" s="67" t="s">
        <v>62</v>
      </c>
      <c r="F121" s="67" t="s">
        <v>85</v>
      </c>
      <c r="G121" s="67"/>
      <c r="H121" s="67" t="s">
        <v>62</v>
      </c>
      <c r="I121" s="67" t="s">
        <v>85</v>
      </c>
      <c r="J121" s="67"/>
      <c r="K121" s="67" t="s">
        <v>62</v>
      </c>
      <c r="L121" s="67" t="s">
        <v>85</v>
      </c>
      <c r="M121" s="67"/>
    </row>
    <row r="122" spans="1:14" ht="15">
      <c r="A122" s="15" t="s">
        <v>71</v>
      </c>
      <c r="B122" s="67" t="s">
        <v>62</v>
      </c>
      <c r="C122" s="67" t="s">
        <v>85</v>
      </c>
      <c r="D122" s="66"/>
      <c r="E122" s="67" t="s">
        <v>62</v>
      </c>
      <c r="F122" s="67" t="s">
        <v>85</v>
      </c>
      <c r="G122" s="67"/>
      <c r="H122" s="67" t="s">
        <v>62</v>
      </c>
      <c r="I122" s="67" t="s">
        <v>85</v>
      </c>
      <c r="J122" s="67"/>
      <c r="K122" s="67" t="s">
        <v>62</v>
      </c>
      <c r="L122" s="67" t="s">
        <v>85</v>
      </c>
      <c r="M122" s="67"/>
    </row>
    <row r="123" spans="1:14" ht="15">
      <c r="A123" s="15" t="s">
        <v>72</v>
      </c>
      <c r="B123" s="67" t="s">
        <v>62</v>
      </c>
      <c r="C123" s="67" t="s">
        <v>85</v>
      </c>
      <c r="D123" s="66"/>
      <c r="E123" s="67" t="s">
        <v>62</v>
      </c>
      <c r="F123" s="67" t="s">
        <v>85</v>
      </c>
      <c r="G123" s="67"/>
      <c r="H123" s="67" t="s">
        <v>62</v>
      </c>
      <c r="I123" s="67" t="s">
        <v>85</v>
      </c>
      <c r="J123" s="67"/>
      <c r="K123" s="67" t="s">
        <v>62</v>
      </c>
      <c r="L123" s="67" t="s">
        <v>85</v>
      </c>
      <c r="M123" s="67"/>
    </row>
    <row r="124" spans="1:14" ht="15">
      <c r="A124" s="15" t="s">
        <v>73</v>
      </c>
      <c r="B124" s="67" t="s">
        <v>62</v>
      </c>
      <c r="C124" s="67" t="s">
        <v>85</v>
      </c>
      <c r="D124" s="66"/>
      <c r="E124" s="67" t="s">
        <v>62</v>
      </c>
      <c r="F124" s="67" t="s">
        <v>85</v>
      </c>
      <c r="G124" s="67"/>
      <c r="H124" s="67" t="s">
        <v>62</v>
      </c>
      <c r="I124" s="67" t="s">
        <v>85</v>
      </c>
      <c r="J124" s="67"/>
      <c r="K124" s="67" t="s">
        <v>62</v>
      </c>
      <c r="L124" s="67" t="s">
        <v>85</v>
      </c>
      <c r="M124" s="67"/>
    </row>
    <row r="125" spans="1:14" ht="15">
      <c r="A125" s="15" t="s">
        <v>74</v>
      </c>
      <c r="B125" s="67" t="s">
        <v>62</v>
      </c>
      <c r="C125" s="67" t="s">
        <v>85</v>
      </c>
      <c r="D125" s="66"/>
      <c r="E125" s="67" t="s">
        <v>62</v>
      </c>
      <c r="F125" s="67" t="s">
        <v>85</v>
      </c>
      <c r="G125" s="67"/>
      <c r="H125" s="67" t="s">
        <v>62</v>
      </c>
      <c r="I125" s="67" t="s">
        <v>85</v>
      </c>
      <c r="J125" s="67"/>
      <c r="K125" s="67" t="s">
        <v>62</v>
      </c>
      <c r="L125" s="67" t="s">
        <v>85</v>
      </c>
      <c r="M125" s="67"/>
    </row>
    <row r="126" spans="1:14" ht="42.75">
      <c r="A126" s="94" t="s">
        <v>75</v>
      </c>
      <c r="B126" s="67" t="s">
        <v>62</v>
      </c>
      <c r="C126" s="51" t="s">
        <v>93</v>
      </c>
      <c r="D126" s="67" t="s">
        <v>94</v>
      </c>
      <c r="E126" s="67" t="s">
        <v>62</v>
      </c>
      <c r="F126" s="51" t="s">
        <v>93</v>
      </c>
      <c r="G126" s="67" t="s">
        <v>94</v>
      </c>
      <c r="H126" s="67" t="s">
        <v>62</v>
      </c>
      <c r="I126" s="51" t="s">
        <v>93</v>
      </c>
      <c r="J126" s="67" t="s">
        <v>94</v>
      </c>
      <c r="K126" s="67" t="s">
        <v>62</v>
      </c>
      <c r="L126" s="51" t="s">
        <v>93</v>
      </c>
      <c r="M126" s="67" t="s">
        <v>94</v>
      </c>
    </row>
    <row r="127" spans="1:14">
      <c r="A127" s="94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</row>
    <row r="128" spans="1:14">
      <c r="A128" s="94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</row>
    <row r="130" spans="1:14" ht="15">
      <c r="A130" s="12" t="s">
        <v>76</v>
      </c>
      <c r="B130" s="92" t="s">
        <v>90</v>
      </c>
      <c r="C130" s="92"/>
      <c r="D130" s="92"/>
      <c r="E130" s="92" t="s">
        <v>90</v>
      </c>
      <c r="F130" s="92"/>
      <c r="G130" s="92"/>
      <c r="H130" s="92" t="s">
        <v>90</v>
      </c>
      <c r="I130" s="92"/>
      <c r="J130" s="92"/>
      <c r="K130" s="92" t="s">
        <v>90</v>
      </c>
      <c r="L130" s="92"/>
      <c r="M130" s="92"/>
      <c r="N130" s="64"/>
    </row>
    <row r="131" spans="1:14" ht="15">
      <c r="A131" s="12" t="s">
        <v>80</v>
      </c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64"/>
    </row>
    <row r="132" spans="1:14" ht="15">
      <c r="A132" s="12" t="s">
        <v>13</v>
      </c>
      <c r="B132" s="93">
        <v>46208</v>
      </c>
      <c r="C132" s="93"/>
      <c r="D132" s="93"/>
      <c r="E132" s="93">
        <v>46215</v>
      </c>
      <c r="F132" s="93"/>
      <c r="G132" s="93"/>
      <c r="H132" s="93">
        <v>46222</v>
      </c>
      <c r="I132" s="93"/>
      <c r="J132" s="93"/>
      <c r="K132" s="93">
        <v>46229</v>
      </c>
      <c r="L132" s="93"/>
      <c r="M132" s="93"/>
      <c r="N132" s="64"/>
    </row>
    <row r="133" spans="1:14" s="22" customFormat="1"/>
    <row r="134" spans="1:14" ht="15">
      <c r="A134" s="3" t="s">
        <v>52</v>
      </c>
    </row>
    <row r="135" spans="1:14" s="1" customFormat="1" ht="45">
      <c r="A135" s="63" t="s">
        <v>57</v>
      </c>
      <c r="B135" s="13" t="s">
        <v>58</v>
      </c>
      <c r="C135" s="63" t="s">
        <v>59</v>
      </c>
      <c r="D135" s="13" t="s">
        <v>60</v>
      </c>
      <c r="E135" s="13" t="s">
        <v>58</v>
      </c>
      <c r="F135" s="63" t="s">
        <v>59</v>
      </c>
      <c r="G135" s="13" t="s">
        <v>60</v>
      </c>
      <c r="H135" s="13" t="s">
        <v>58</v>
      </c>
      <c r="I135" s="63" t="s">
        <v>59</v>
      </c>
      <c r="J135" s="13" t="s">
        <v>60</v>
      </c>
      <c r="K135" s="13" t="s">
        <v>58</v>
      </c>
      <c r="L135" s="63" t="s">
        <v>59</v>
      </c>
      <c r="M135" s="13" t="s">
        <v>60</v>
      </c>
      <c r="N135" s="14"/>
    </row>
    <row r="136" spans="1:14" ht="42.75">
      <c r="A136" s="15" t="s">
        <v>61</v>
      </c>
      <c r="B136" s="67" t="s">
        <v>62</v>
      </c>
      <c r="C136" s="67" t="s">
        <v>100</v>
      </c>
      <c r="D136" s="66" t="s">
        <v>101</v>
      </c>
      <c r="E136" s="67" t="s">
        <v>62</v>
      </c>
      <c r="F136" s="67" t="s">
        <v>85</v>
      </c>
      <c r="G136" s="67"/>
      <c r="H136" s="67" t="s">
        <v>62</v>
      </c>
      <c r="I136" s="67" t="s">
        <v>85</v>
      </c>
      <c r="J136" s="67"/>
      <c r="K136" s="67" t="s">
        <v>62</v>
      </c>
      <c r="L136" s="67" t="s">
        <v>85</v>
      </c>
      <c r="M136" s="67"/>
    </row>
    <row r="137" spans="1:14" ht="15">
      <c r="A137" s="15" t="s">
        <v>67</v>
      </c>
      <c r="B137" s="67"/>
      <c r="C137" s="67"/>
      <c r="D137" s="66"/>
      <c r="E137" s="67"/>
      <c r="F137" s="67"/>
      <c r="G137" s="67"/>
      <c r="H137" s="67"/>
      <c r="I137" s="67"/>
      <c r="J137" s="67"/>
      <c r="K137" s="67"/>
      <c r="L137" s="67"/>
      <c r="M137" s="67"/>
    </row>
    <row r="138" spans="1:14" ht="15">
      <c r="A138" s="15" t="s">
        <v>68</v>
      </c>
      <c r="B138" s="67" t="s">
        <v>62</v>
      </c>
      <c r="C138" s="67" t="s">
        <v>85</v>
      </c>
      <c r="D138" s="66"/>
      <c r="E138" s="67" t="s">
        <v>62</v>
      </c>
      <c r="F138" s="67" t="s">
        <v>85</v>
      </c>
      <c r="G138" s="67"/>
      <c r="H138" s="67" t="s">
        <v>62</v>
      </c>
      <c r="I138" s="67" t="s">
        <v>85</v>
      </c>
      <c r="J138" s="67"/>
      <c r="K138" s="67" t="s">
        <v>62</v>
      </c>
      <c r="L138" s="67" t="s">
        <v>85</v>
      </c>
      <c r="M138" s="67"/>
    </row>
    <row r="139" spans="1:14" ht="15">
      <c r="A139" s="15" t="s">
        <v>69</v>
      </c>
      <c r="B139" s="67" t="s">
        <v>62</v>
      </c>
      <c r="C139" s="67" t="s">
        <v>85</v>
      </c>
      <c r="D139" s="66"/>
      <c r="E139" s="67" t="s">
        <v>62</v>
      </c>
      <c r="F139" s="67" t="s">
        <v>85</v>
      </c>
      <c r="G139" s="67"/>
      <c r="H139" s="67" t="s">
        <v>62</v>
      </c>
      <c r="I139" s="67" t="s">
        <v>85</v>
      </c>
      <c r="J139" s="67"/>
      <c r="K139" s="67" t="s">
        <v>62</v>
      </c>
      <c r="L139" s="67" t="s">
        <v>85</v>
      </c>
      <c r="M139" s="67"/>
    </row>
    <row r="140" spans="1:14" ht="15">
      <c r="A140" s="15" t="s">
        <v>70</v>
      </c>
      <c r="B140" s="67" t="s">
        <v>62</v>
      </c>
      <c r="C140" s="67" t="s">
        <v>85</v>
      </c>
      <c r="D140" s="66"/>
      <c r="E140" s="67" t="s">
        <v>62</v>
      </c>
      <c r="F140" s="67" t="s">
        <v>85</v>
      </c>
      <c r="G140" s="67"/>
      <c r="H140" s="67" t="s">
        <v>62</v>
      </c>
      <c r="I140" s="67" t="s">
        <v>85</v>
      </c>
      <c r="J140" s="67"/>
      <c r="K140" s="67" t="s">
        <v>62</v>
      </c>
      <c r="L140" s="67" t="s">
        <v>85</v>
      </c>
      <c r="M140" s="67"/>
    </row>
    <row r="141" spans="1:14" ht="15">
      <c r="A141" s="15" t="s">
        <v>71</v>
      </c>
      <c r="B141" s="67" t="s">
        <v>62</v>
      </c>
      <c r="C141" s="67" t="s">
        <v>85</v>
      </c>
      <c r="D141" s="66"/>
      <c r="E141" s="67" t="s">
        <v>62</v>
      </c>
      <c r="F141" s="67" t="s">
        <v>85</v>
      </c>
      <c r="G141" s="67"/>
      <c r="H141" s="67" t="s">
        <v>62</v>
      </c>
      <c r="I141" s="67" t="s">
        <v>85</v>
      </c>
      <c r="J141" s="67"/>
      <c r="K141" s="67" t="s">
        <v>62</v>
      </c>
      <c r="L141" s="67" t="s">
        <v>85</v>
      </c>
      <c r="M141" s="67"/>
    </row>
    <row r="142" spans="1:14" ht="15">
      <c r="A142" s="15" t="s">
        <v>72</v>
      </c>
      <c r="B142" s="67" t="s">
        <v>62</v>
      </c>
      <c r="C142" s="67" t="s">
        <v>85</v>
      </c>
      <c r="D142" s="66"/>
      <c r="E142" s="67" t="s">
        <v>62</v>
      </c>
      <c r="F142" s="67" t="s">
        <v>85</v>
      </c>
      <c r="G142" s="67"/>
      <c r="H142" s="67" t="s">
        <v>62</v>
      </c>
      <c r="I142" s="67" t="s">
        <v>85</v>
      </c>
      <c r="J142" s="67"/>
      <c r="K142" s="67" t="s">
        <v>62</v>
      </c>
      <c r="L142" s="67" t="s">
        <v>85</v>
      </c>
      <c r="M142" s="67"/>
    </row>
    <row r="143" spans="1:14" ht="15">
      <c r="A143" s="15" t="s">
        <v>73</v>
      </c>
      <c r="B143" s="67" t="s">
        <v>62</v>
      </c>
      <c r="C143" s="67" t="s">
        <v>85</v>
      </c>
      <c r="D143" s="66"/>
      <c r="E143" s="67" t="s">
        <v>62</v>
      </c>
      <c r="F143" s="67" t="s">
        <v>85</v>
      </c>
      <c r="G143" s="67"/>
      <c r="H143" s="67" t="s">
        <v>62</v>
      </c>
      <c r="I143" s="67" t="s">
        <v>85</v>
      </c>
      <c r="J143" s="67"/>
      <c r="K143" s="67" t="s">
        <v>62</v>
      </c>
      <c r="L143" s="67" t="s">
        <v>85</v>
      </c>
      <c r="M143" s="67"/>
    </row>
    <row r="144" spans="1:14" ht="15">
      <c r="A144" s="15" t="s">
        <v>74</v>
      </c>
      <c r="B144" s="67" t="s">
        <v>62</v>
      </c>
      <c r="C144" s="67" t="s">
        <v>85</v>
      </c>
      <c r="D144" s="66"/>
      <c r="E144" s="67" t="s">
        <v>62</v>
      </c>
      <c r="F144" s="67" t="s">
        <v>85</v>
      </c>
      <c r="G144" s="67"/>
      <c r="H144" s="67" t="s">
        <v>62</v>
      </c>
      <c r="I144" s="67" t="s">
        <v>85</v>
      </c>
      <c r="J144" s="67"/>
      <c r="K144" s="67" t="s">
        <v>62</v>
      </c>
      <c r="L144" s="67" t="s">
        <v>85</v>
      </c>
      <c r="M144" s="67"/>
    </row>
    <row r="145" spans="1:14" ht="42.75">
      <c r="A145" s="94" t="s">
        <v>75</v>
      </c>
      <c r="B145" s="67" t="s">
        <v>62</v>
      </c>
      <c r="C145" s="51" t="s">
        <v>93</v>
      </c>
      <c r="D145" s="67" t="s">
        <v>102</v>
      </c>
      <c r="E145" s="67" t="s">
        <v>62</v>
      </c>
      <c r="F145" s="51" t="s">
        <v>93</v>
      </c>
      <c r="G145" s="67" t="s">
        <v>94</v>
      </c>
      <c r="H145" s="67" t="s">
        <v>62</v>
      </c>
      <c r="I145" s="51" t="s">
        <v>93</v>
      </c>
      <c r="J145" s="67" t="s">
        <v>102</v>
      </c>
      <c r="K145" s="67" t="s">
        <v>62</v>
      </c>
      <c r="L145" s="51" t="s">
        <v>103</v>
      </c>
      <c r="M145" s="67" t="s">
        <v>94</v>
      </c>
    </row>
    <row r="146" spans="1:14">
      <c r="A146" s="94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</row>
    <row r="147" spans="1:14">
      <c r="A147" s="94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</row>
    <row r="149" spans="1:14" ht="15">
      <c r="A149" s="12" t="s">
        <v>76</v>
      </c>
      <c r="B149" s="92" t="s">
        <v>90</v>
      </c>
      <c r="C149" s="92"/>
      <c r="D149" s="92"/>
      <c r="E149" s="92" t="s">
        <v>90</v>
      </c>
      <c r="F149" s="92"/>
      <c r="G149" s="92"/>
      <c r="H149" s="92" t="s">
        <v>90</v>
      </c>
      <c r="I149" s="92"/>
      <c r="J149" s="92"/>
      <c r="K149" s="92" t="s">
        <v>90</v>
      </c>
      <c r="L149" s="92"/>
      <c r="M149" s="92"/>
      <c r="N149" s="64"/>
    </row>
    <row r="150" spans="1:14" ht="15">
      <c r="A150" s="12" t="s">
        <v>80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64"/>
    </row>
    <row r="151" spans="1:14" ht="15">
      <c r="A151" s="12" t="s">
        <v>13</v>
      </c>
      <c r="B151" s="93">
        <v>46236</v>
      </c>
      <c r="C151" s="93"/>
      <c r="D151" s="93"/>
      <c r="E151" s="93">
        <v>46243</v>
      </c>
      <c r="F151" s="93"/>
      <c r="G151" s="93"/>
      <c r="H151" s="93">
        <v>46250</v>
      </c>
      <c r="I151" s="93"/>
      <c r="J151" s="93"/>
      <c r="K151" s="93">
        <v>46257</v>
      </c>
      <c r="L151" s="93"/>
      <c r="M151" s="93"/>
      <c r="N151" s="64"/>
    </row>
    <row r="152" spans="1:14" s="22" customFormat="1"/>
    <row r="153" spans="1:14" ht="15">
      <c r="A153" s="3" t="s">
        <v>53</v>
      </c>
    </row>
    <row r="154" spans="1:14" s="1" customFormat="1" ht="45">
      <c r="A154" s="63" t="s">
        <v>57</v>
      </c>
      <c r="B154" s="13" t="s">
        <v>58</v>
      </c>
      <c r="C154" s="63" t="s">
        <v>59</v>
      </c>
      <c r="D154" s="13" t="s">
        <v>60</v>
      </c>
      <c r="E154" s="13" t="s">
        <v>58</v>
      </c>
      <c r="F154" s="63" t="s">
        <v>59</v>
      </c>
      <c r="G154" s="13" t="s">
        <v>60</v>
      </c>
      <c r="H154" s="13" t="s">
        <v>58</v>
      </c>
      <c r="I154" s="63" t="s">
        <v>59</v>
      </c>
      <c r="J154" s="13" t="s">
        <v>60</v>
      </c>
      <c r="K154" s="13" t="s">
        <v>58</v>
      </c>
      <c r="L154" s="63" t="s">
        <v>59</v>
      </c>
      <c r="M154" s="13" t="s">
        <v>60</v>
      </c>
      <c r="N154" s="14"/>
    </row>
    <row r="155" spans="1:14" ht="15">
      <c r="A155" s="15" t="s">
        <v>61</v>
      </c>
      <c r="B155" s="67"/>
      <c r="C155" s="67"/>
      <c r="D155" s="66"/>
      <c r="E155" s="67"/>
      <c r="F155" s="67"/>
      <c r="G155" s="67"/>
      <c r="H155" s="67"/>
      <c r="I155" s="67"/>
      <c r="J155" s="67"/>
      <c r="K155" s="67"/>
      <c r="L155" s="67"/>
      <c r="M155" s="67"/>
    </row>
    <row r="156" spans="1:14" ht="15">
      <c r="A156" s="15" t="s">
        <v>67</v>
      </c>
      <c r="B156" s="67"/>
      <c r="C156" s="67"/>
      <c r="D156" s="66"/>
      <c r="E156" s="67"/>
      <c r="F156" s="67"/>
      <c r="G156" s="67"/>
      <c r="H156" s="67"/>
      <c r="I156" s="67"/>
      <c r="J156" s="67"/>
      <c r="K156" s="67"/>
      <c r="L156" s="67"/>
      <c r="M156" s="67"/>
    </row>
    <row r="157" spans="1:14" ht="15">
      <c r="A157" s="15" t="s">
        <v>68</v>
      </c>
      <c r="B157" s="67"/>
      <c r="C157" s="67"/>
      <c r="D157" s="66"/>
      <c r="E157" s="67"/>
      <c r="F157" s="67"/>
      <c r="G157" s="67"/>
      <c r="H157" s="67"/>
      <c r="I157" s="67"/>
      <c r="J157" s="67"/>
      <c r="K157" s="67"/>
      <c r="L157" s="67"/>
      <c r="M157" s="67"/>
    </row>
    <row r="158" spans="1:14" ht="15">
      <c r="A158" s="15" t="s">
        <v>69</v>
      </c>
      <c r="B158" s="67"/>
      <c r="C158" s="67"/>
      <c r="D158" s="66"/>
      <c r="E158" s="67"/>
      <c r="F158" s="67"/>
      <c r="G158" s="67"/>
      <c r="H158" s="67"/>
      <c r="I158" s="67"/>
      <c r="J158" s="67"/>
      <c r="K158" s="67"/>
      <c r="L158" s="67"/>
      <c r="M158" s="67"/>
    </row>
    <row r="159" spans="1:14" ht="15">
      <c r="A159" s="15" t="s">
        <v>70</v>
      </c>
      <c r="B159" s="67"/>
      <c r="C159" s="67"/>
      <c r="D159" s="66"/>
      <c r="E159" s="67"/>
      <c r="F159" s="67"/>
      <c r="G159" s="67"/>
      <c r="H159" s="67"/>
      <c r="I159" s="67"/>
      <c r="J159" s="67"/>
      <c r="K159" s="67"/>
      <c r="L159" s="67"/>
      <c r="M159" s="67"/>
    </row>
    <row r="160" spans="1:14" ht="15">
      <c r="A160" s="15" t="s">
        <v>71</v>
      </c>
      <c r="B160" s="67"/>
      <c r="C160" s="67"/>
      <c r="D160" s="66"/>
      <c r="E160" s="67"/>
      <c r="F160" s="67"/>
      <c r="G160" s="67"/>
      <c r="H160" s="67"/>
      <c r="I160" s="67"/>
      <c r="J160" s="67"/>
      <c r="K160" s="67"/>
      <c r="L160" s="67"/>
      <c r="M160" s="67"/>
    </row>
    <row r="161" spans="1:14" ht="15">
      <c r="A161" s="15" t="s">
        <v>72</v>
      </c>
      <c r="B161" s="67"/>
      <c r="C161" s="67"/>
      <c r="D161" s="66"/>
      <c r="E161" s="67"/>
      <c r="F161" s="67"/>
      <c r="G161" s="67"/>
      <c r="H161" s="67"/>
      <c r="I161" s="67"/>
      <c r="J161" s="67"/>
      <c r="K161" s="67"/>
      <c r="L161" s="67"/>
      <c r="M161" s="67"/>
    </row>
    <row r="162" spans="1:14" ht="15">
      <c r="A162" s="15" t="s">
        <v>73</v>
      </c>
      <c r="B162" s="67"/>
      <c r="C162" s="67"/>
      <c r="D162" s="66"/>
      <c r="E162" s="67"/>
      <c r="F162" s="67"/>
      <c r="G162" s="67"/>
      <c r="H162" s="67"/>
      <c r="I162" s="67"/>
      <c r="J162" s="67"/>
      <c r="K162" s="67"/>
      <c r="L162" s="67"/>
      <c r="M162" s="67"/>
    </row>
    <row r="163" spans="1:14" ht="15">
      <c r="A163" s="15" t="s">
        <v>74</v>
      </c>
      <c r="B163" s="67"/>
      <c r="C163" s="67"/>
      <c r="D163" s="66"/>
      <c r="E163" s="67"/>
      <c r="F163" s="67"/>
      <c r="G163" s="67"/>
      <c r="H163" s="67"/>
      <c r="I163" s="67"/>
      <c r="J163" s="67"/>
      <c r="K163" s="67"/>
      <c r="L163" s="67"/>
      <c r="M163" s="67"/>
    </row>
    <row r="164" spans="1:14">
      <c r="A164" s="94" t="s">
        <v>75</v>
      </c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</row>
    <row r="165" spans="1:14">
      <c r="A165" s="94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</row>
    <row r="166" spans="1:14">
      <c r="A166" s="94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</row>
    <row r="168" spans="1:14" ht="15">
      <c r="A168" s="12" t="s">
        <v>76</v>
      </c>
      <c r="B168" s="92" t="s">
        <v>90</v>
      </c>
      <c r="C168" s="92"/>
      <c r="D168" s="92"/>
      <c r="E168" s="92" t="s">
        <v>90</v>
      </c>
      <c r="F168" s="92"/>
      <c r="G168" s="92"/>
      <c r="H168" s="92" t="s">
        <v>90</v>
      </c>
      <c r="I168" s="92"/>
      <c r="J168" s="92"/>
      <c r="K168" s="92" t="s">
        <v>90</v>
      </c>
      <c r="L168" s="92"/>
      <c r="M168" s="92"/>
      <c r="N168" s="64"/>
    </row>
    <row r="169" spans="1:14" ht="15">
      <c r="A169" s="12" t="s">
        <v>80</v>
      </c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64"/>
    </row>
    <row r="170" spans="1:14" ht="15">
      <c r="A170" s="12" t="s">
        <v>13</v>
      </c>
      <c r="B170" s="93">
        <v>46271</v>
      </c>
      <c r="C170" s="93"/>
      <c r="D170" s="93"/>
      <c r="E170" s="93">
        <v>46278</v>
      </c>
      <c r="F170" s="93"/>
      <c r="G170" s="93"/>
      <c r="H170" s="93">
        <v>46285</v>
      </c>
      <c r="I170" s="93"/>
      <c r="J170" s="93"/>
      <c r="K170" s="93">
        <v>46292</v>
      </c>
      <c r="L170" s="93"/>
      <c r="M170" s="93"/>
      <c r="N170" s="64"/>
    </row>
    <row r="171" spans="1:14" s="22" customFormat="1"/>
    <row r="172" spans="1:14" ht="15">
      <c r="A172" s="3" t="s">
        <v>54</v>
      </c>
    </row>
    <row r="173" spans="1:14" s="1" customFormat="1" ht="45">
      <c r="A173" s="63" t="s">
        <v>57</v>
      </c>
      <c r="B173" s="13" t="s">
        <v>58</v>
      </c>
      <c r="C173" s="63" t="s">
        <v>59</v>
      </c>
      <c r="D173" s="13" t="s">
        <v>60</v>
      </c>
      <c r="E173" s="13" t="s">
        <v>58</v>
      </c>
      <c r="F173" s="63" t="s">
        <v>59</v>
      </c>
      <c r="G173" s="13" t="s">
        <v>60</v>
      </c>
      <c r="H173" s="13" t="s">
        <v>58</v>
      </c>
      <c r="I173" s="63" t="s">
        <v>59</v>
      </c>
      <c r="J173" s="13" t="s">
        <v>60</v>
      </c>
      <c r="K173" s="13" t="s">
        <v>58</v>
      </c>
      <c r="L173" s="63" t="s">
        <v>59</v>
      </c>
      <c r="M173" s="13" t="s">
        <v>60</v>
      </c>
      <c r="N173" s="14"/>
    </row>
    <row r="174" spans="1:14" ht="15">
      <c r="A174" s="15" t="s">
        <v>61</v>
      </c>
      <c r="B174" s="67"/>
      <c r="C174" s="67"/>
      <c r="D174" s="66"/>
      <c r="E174" s="67"/>
      <c r="F174" s="67"/>
      <c r="G174" s="67"/>
      <c r="H174" s="67"/>
      <c r="I174" s="67"/>
      <c r="J174" s="67"/>
      <c r="K174" s="67"/>
      <c r="L174" s="67"/>
      <c r="M174" s="67"/>
    </row>
    <row r="175" spans="1:14" ht="15">
      <c r="A175" s="15" t="s">
        <v>67</v>
      </c>
      <c r="B175" s="67"/>
      <c r="C175" s="67"/>
      <c r="D175" s="66"/>
      <c r="E175" s="67"/>
      <c r="F175" s="67"/>
      <c r="G175" s="67"/>
      <c r="H175" s="67"/>
      <c r="I175" s="67"/>
      <c r="J175" s="67"/>
      <c r="K175" s="67"/>
      <c r="L175" s="67"/>
      <c r="M175" s="67"/>
    </row>
    <row r="176" spans="1:14" ht="15">
      <c r="A176" s="15" t="s">
        <v>68</v>
      </c>
      <c r="B176" s="67"/>
      <c r="C176" s="67"/>
      <c r="D176" s="66"/>
      <c r="E176" s="67"/>
      <c r="F176" s="67"/>
      <c r="G176" s="67"/>
      <c r="H176" s="67"/>
      <c r="I176" s="67"/>
      <c r="J176" s="67"/>
      <c r="K176" s="67"/>
      <c r="L176" s="67"/>
      <c r="M176" s="67"/>
    </row>
    <row r="177" spans="1:14" ht="15">
      <c r="A177" s="15" t="s">
        <v>69</v>
      </c>
      <c r="B177" s="67"/>
      <c r="C177" s="67"/>
      <c r="D177" s="66"/>
      <c r="E177" s="67"/>
      <c r="F177" s="67"/>
      <c r="G177" s="67"/>
      <c r="H177" s="67"/>
      <c r="I177" s="67"/>
      <c r="J177" s="67"/>
      <c r="K177" s="67"/>
      <c r="L177" s="67"/>
      <c r="M177" s="67"/>
    </row>
    <row r="178" spans="1:14" ht="15">
      <c r="A178" s="15" t="s">
        <v>70</v>
      </c>
      <c r="B178" s="67"/>
      <c r="C178" s="67"/>
      <c r="D178" s="66"/>
      <c r="E178" s="67"/>
      <c r="F178" s="67"/>
      <c r="G178" s="67"/>
      <c r="H178" s="67"/>
      <c r="I178" s="67"/>
      <c r="J178" s="67"/>
      <c r="K178" s="67"/>
      <c r="L178" s="67"/>
      <c r="M178" s="67"/>
    </row>
    <row r="179" spans="1:14" ht="15">
      <c r="A179" s="15" t="s">
        <v>71</v>
      </c>
      <c r="B179" s="67"/>
      <c r="C179" s="67"/>
      <c r="D179" s="66"/>
      <c r="E179" s="67"/>
      <c r="F179" s="67"/>
      <c r="G179" s="67"/>
      <c r="H179" s="67"/>
      <c r="I179" s="67"/>
      <c r="J179" s="67"/>
      <c r="K179" s="67"/>
      <c r="L179" s="67"/>
      <c r="M179" s="67"/>
    </row>
    <row r="180" spans="1:14" ht="15">
      <c r="A180" s="15" t="s">
        <v>72</v>
      </c>
      <c r="B180" s="67"/>
      <c r="C180" s="67"/>
      <c r="D180" s="66"/>
      <c r="E180" s="67"/>
      <c r="F180" s="67"/>
      <c r="G180" s="67"/>
      <c r="H180" s="67"/>
      <c r="I180" s="67"/>
      <c r="J180" s="67"/>
      <c r="K180" s="67"/>
      <c r="L180" s="67"/>
      <c r="M180" s="67"/>
    </row>
    <row r="181" spans="1:14" ht="15">
      <c r="A181" s="15" t="s">
        <v>73</v>
      </c>
      <c r="B181" s="67"/>
      <c r="C181" s="67"/>
      <c r="D181" s="66"/>
      <c r="E181" s="67"/>
      <c r="F181" s="67"/>
      <c r="G181" s="67"/>
      <c r="H181" s="67"/>
      <c r="I181" s="67"/>
      <c r="J181" s="67"/>
      <c r="K181" s="67"/>
      <c r="L181" s="67"/>
      <c r="M181" s="67"/>
    </row>
    <row r="182" spans="1:14" ht="15">
      <c r="A182" s="15" t="s">
        <v>74</v>
      </c>
      <c r="B182" s="67"/>
      <c r="C182" s="67"/>
      <c r="D182" s="66"/>
      <c r="E182" s="67"/>
      <c r="F182" s="67"/>
      <c r="G182" s="67"/>
      <c r="H182" s="67"/>
      <c r="I182" s="67"/>
      <c r="J182" s="67"/>
      <c r="K182" s="67"/>
      <c r="L182" s="67"/>
      <c r="M182" s="67"/>
    </row>
    <row r="183" spans="1:14">
      <c r="A183" s="94" t="s">
        <v>75</v>
      </c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</row>
    <row r="184" spans="1:14">
      <c r="A184" s="94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</row>
    <row r="185" spans="1:14">
      <c r="A185" s="94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</row>
    <row r="187" spans="1:14" ht="15">
      <c r="A187" s="12" t="s">
        <v>76</v>
      </c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64"/>
    </row>
    <row r="188" spans="1:14" ht="15">
      <c r="A188" s="12" t="s">
        <v>80</v>
      </c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64"/>
    </row>
    <row r="189" spans="1:14" ht="15">
      <c r="A189" s="12" t="s">
        <v>13</v>
      </c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64"/>
    </row>
    <row r="190" spans="1:14" s="22" customFormat="1"/>
    <row r="191" spans="1:14" ht="15">
      <c r="A191" s="3" t="s">
        <v>55</v>
      </c>
    </row>
    <row r="192" spans="1:14" s="1" customFormat="1" ht="45">
      <c r="A192" s="63" t="s">
        <v>57</v>
      </c>
      <c r="B192" s="13" t="s">
        <v>58</v>
      </c>
      <c r="C192" s="63" t="s">
        <v>59</v>
      </c>
      <c r="D192" s="13" t="s">
        <v>60</v>
      </c>
      <c r="E192" s="13" t="s">
        <v>58</v>
      </c>
      <c r="F192" s="63" t="s">
        <v>59</v>
      </c>
      <c r="G192" s="13" t="s">
        <v>60</v>
      </c>
      <c r="H192" s="13" t="s">
        <v>58</v>
      </c>
      <c r="I192" s="63" t="s">
        <v>59</v>
      </c>
      <c r="J192" s="13" t="s">
        <v>60</v>
      </c>
      <c r="K192" s="13" t="s">
        <v>58</v>
      </c>
      <c r="L192" s="63" t="s">
        <v>59</v>
      </c>
      <c r="M192" s="13" t="s">
        <v>60</v>
      </c>
      <c r="N192" s="14"/>
    </row>
    <row r="193" spans="1:14" ht="15">
      <c r="A193" s="15" t="s">
        <v>61</v>
      </c>
      <c r="B193" s="67"/>
      <c r="C193" s="67"/>
      <c r="D193" s="66"/>
      <c r="E193" s="67"/>
      <c r="F193" s="67"/>
      <c r="G193" s="67"/>
      <c r="H193" s="67"/>
      <c r="I193" s="67"/>
      <c r="J193" s="67"/>
      <c r="K193" s="67"/>
      <c r="L193" s="67"/>
      <c r="M193" s="67"/>
    </row>
    <row r="194" spans="1:14" ht="15">
      <c r="A194" s="15" t="s">
        <v>67</v>
      </c>
      <c r="B194" s="67"/>
      <c r="C194" s="67"/>
      <c r="D194" s="66"/>
      <c r="E194" s="67"/>
      <c r="F194" s="67"/>
      <c r="G194" s="67"/>
      <c r="H194" s="67"/>
      <c r="I194" s="67"/>
      <c r="J194" s="67"/>
      <c r="K194" s="67"/>
      <c r="L194" s="67"/>
      <c r="M194" s="67"/>
    </row>
    <row r="195" spans="1:14" ht="15">
      <c r="A195" s="15" t="s">
        <v>68</v>
      </c>
      <c r="B195" s="67"/>
      <c r="C195" s="67"/>
      <c r="D195" s="66"/>
      <c r="E195" s="67"/>
      <c r="F195" s="67"/>
      <c r="G195" s="67"/>
      <c r="H195" s="67"/>
      <c r="I195" s="67"/>
      <c r="J195" s="67"/>
      <c r="K195" s="67"/>
      <c r="L195" s="67"/>
      <c r="M195" s="67"/>
    </row>
    <row r="196" spans="1:14" ht="15">
      <c r="A196" s="15" t="s">
        <v>69</v>
      </c>
      <c r="B196" s="67"/>
      <c r="C196" s="67"/>
      <c r="D196" s="66"/>
      <c r="E196" s="67"/>
      <c r="F196" s="67"/>
      <c r="G196" s="67"/>
      <c r="H196" s="67"/>
      <c r="I196" s="67"/>
      <c r="J196" s="67"/>
      <c r="K196" s="67"/>
      <c r="L196" s="67"/>
      <c r="M196" s="67"/>
    </row>
    <row r="197" spans="1:14" ht="15">
      <c r="A197" s="15" t="s">
        <v>70</v>
      </c>
      <c r="B197" s="67"/>
      <c r="C197" s="67"/>
      <c r="D197" s="66"/>
      <c r="E197" s="67"/>
      <c r="F197" s="67"/>
      <c r="G197" s="67"/>
      <c r="H197" s="67"/>
      <c r="I197" s="67"/>
      <c r="J197" s="67"/>
      <c r="K197" s="67"/>
      <c r="L197" s="67"/>
      <c r="M197" s="67"/>
    </row>
    <row r="198" spans="1:14" ht="15">
      <c r="A198" s="15" t="s">
        <v>71</v>
      </c>
      <c r="B198" s="67"/>
      <c r="C198" s="67"/>
      <c r="D198" s="66"/>
      <c r="E198" s="67"/>
      <c r="F198" s="67"/>
      <c r="G198" s="67"/>
      <c r="H198" s="67"/>
      <c r="I198" s="67"/>
      <c r="J198" s="67"/>
      <c r="K198" s="67"/>
      <c r="L198" s="67"/>
      <c r="M198" s="67"/>
    </row>
    <row r="199" spans="1:14" ht="15">
      <c r="A199" s="15" t="s">
        <v>72</v>
      </c>
      <c r="B199" s="67"/>
      <c r="C199" s="67"/>
      <c r="D199" s="66"/>
      <c r="E199" s="67"/>
      <c r="F199" s="67"/>
      <c r="G199" s="67"/>
      <c r="H199" s="67"/>
      <c r="I199" s="67"/>
      <c r="J199" s="67"/>
      <c r="K199" s="67"/>
      <c r="L199" s="67"/>
      <c r="M199" s="67"/>
    </row>
    <row r="200" spans="1:14" ht="15">
      <c r="A200" s="15" t="s">
        <v>73</v>
      </c>
      <c r="B200" s="67"/>
      <c r="C200" s="67"/>
      <c r="D200" s="66"/>
      <c r="E200" s="67"/>
      <c r="F200" s="67"/>
      <c r="G200" s="67"/>
      <c r="H200" s="67"/>
      <c r="I200" s="67"/>
      <c r="J200" s="67"/>
      <c r="K200" s="67"/>
      <c r="L200" s="67"/>
      <c r="M200" s="67"/>
    </row>
    <row r="201" spans="1:14" ht="15">
      <c r="A201" s="15" t="s">
        <v>74</v>
      </c>
      <c r="B201" s="67"/>
      <c r="C201" s="67"/>
      <c r="D201" s="66"/>
      <c r="E201" s="67"/>
      <c r="F201" s="67"/>
      <c r="G201" s="67"/>
      <c r="H201" s="67"/>
      <c r="I201" s="67"/>
      <c r="J201" s="67"/>
      <c r="K201" s="67"/>
      <c r="L201" s="67"/>
      <c r="M201" s="67"/>
    </row>
    <row r="202" spans="1:14">
      <c r="A202" s="94" t="s">
        <v>75</v>
      </c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</row>
    <row r="203" spans="1:14">
      <c r="A203" s="94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</row>
    <row r="204" spans="1:14">
      <c r="A204" s="94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</row>
    <row r="206" spans="1:14" ht="15">
      <c r="A206" s="12" t="s">
        <v>76</v>
      </c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64"/>
    </row>
    <row r="207" spans="1:14" ht="15">
      <c r="A207" s="12" t="s">
        <v>80</v>
      </c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64"/>
    </row>
    <row r="208" spans="1:14" ht="15">
      <c r="A208" s="12" t="s">
        <v>13</v>
      </c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64"/>
    </row>
    <row r="209" spans="1:14" s="22" customFormat="1"/>
    <row r="210" spans="1:14" ht="15">
      <c r="A210" s="3" t="s">
        <v>56</v>
      </c>
    </row>
    <row r="211" spans="1:14" s="1" customFormat="1" ht="45">
      <c r="A211" s="63" t="s">
        <v>57</v>
      </c>
      <c r="B211" s="13" t="s">
        <v>58</v>
      </c>
      <c r="C211" s="63" t="s">
        <v>59</v>
      </c>
      <c r="D211" s="13" t="s">
        <v>60</v>
      </c>
      <c r="E211" s="13" t="s">
        <v>58</v>
      </c>
      <c r="F211" s="63" t="s">
        <v>59</v>
      </c>
      <c r="G211" s="13" t="s">
        <v>60</v>
      </c>
      <c r="H211" s="13" t="s">
        <v>58</v>
      </c>
      <c r="I211" s="63" t="s">
        <v>59</v>
      </c>
      <c r="J211" s="13" t="s">
        <v>60</v>
      </c>
      <c r="K211" s="13" t="s">
        <v>58</v>
      </c>
      <c r="L211" s="63" t="s">
        <v>59</v>
      </c>
      <c r="M211" s="13" t="s">
        <v>60</v>
      </c>
      <c r="N211" s="14"/>
    </row>
    <row r="212" spans="1:14" ht="15">
      <c r="A212" s="15" t="s">
        <v>61</v>
      </c>
      <c r="B212" s="67"/>
      <c r="C212" s="67"/>
      <c r="D212" s="66"/>
      <c r="E212" s="67"/>
      <c r="F212" s="67"/>
      <c r="G212" s="67"/>
      <c r="H212" s="67"/>
      <c r="I212" s="67"/>
      <c r="J212" s="67"/>
      <c r="K212" s="67"/>
      <c r="L212" s="67"/>
      <c r="M212" s="67"/>
    </row>
    <row r="213" spans="1:14" ht="15">
      <c r="A213" s="15" t="s">
        <v>67</v>
      </c>
      <c r="B213" s="67"/>
      <c r="C213" s="67"/>
      <c r="D213" s="66"/>
      <c r="E213" s="67"/>
      <c r="F213" s="67"/>
      <c r="G213" s="67"/>
      <c r="H213" s="67"/>
      <c r="I213" s="67"/>
      <c r="J213" s="67"/>
      <c r="K213" s="67"/>
      <c r="L213" s="67"/>
      <c r="M213" s="67"/>
    </row>
    <row r="214" spans="1:14" ht="15">
      <c r="A214" s="15" t="s">
        <v>68</v>
      </c>
      <c r="B214" s="67"/>
      <c r="C214" s="67"/>
      <c r="D214" s="66"/>
      <c r="E214" s="67"/>
      <c r="F214" s="67"/>
      <c r="G214" s="67"/>
      <c r="H214" s="67"/>
      <c r="I214" s="67"/>
      <c r="J214" s="67"/>
      <c r="K214" s="67"/>
      <c r="L214" s="67"/>
      <c r="M214" s="67"/>
    </row>
    <row r="215" spans="1:14" ht="15">
      <c r="A215" s="15" t="s">
        <v>69</v>
      </c>
      <c r="B215" s="67"/>
      <c r="C215" s="67"/>
      <c r="D215" s="66"/>
      <c r="E215" s="67"/>
      <c r="F215" s="67"/>
      <c r="G215" s="67"/>
      <c r="H215" s="67"/>
      <c r="I215" s="67"/>
      <c r="J215" s="67"/>
      <c r="K215" s="67"/>
      <c r="L215" s="67"/>
      <c r="M215" s="67"/>
    </row>
    <row r="216" spans="1:14" ht="15">
      <c r="A216" s="15" t="s">
        <v>70</v>
      </c>
      <c r="B216" s="67"/>
      <c r="C216" s="67"/>
      <c r="D216" s="66"/>
      <c r="E216" s="67"/>
      <c r="F216" s="67"/>
      <c r="G216" s="67"/>
      <c r="H216" s="67"/>
      <c r="I216" s="67"/>
      <c r="J216" s="67"/>
      <c r="K216" s="67"/>
      <c r="L216" s="67"/>
      <c r="M216" s="67"/>
    </row>
    <row r="217" spans="1:14" ht="15">
      <c r="A217" s="15" t="s">
        <v>71</v>
      </c>
      <c r="B217" s="67"/>
      <c r="C217" s="67"/>
      <c r="D217" s="66"/>
      <c r="E217" s="67"/>
      <c r="F217" s="67"/>
      <c r="G217" s="67"/>
      <c r="H217" s="67"/>
      <c r="I217" s="67"/>
      <c r="J217" s="67"/>
      <c r="K217" s="67"/>
      <c r="L217" s="67"/>
      <c r="M217" s="67"/>
    </row>
    <row r="218" spans="1:14" ht="15">
      <c r="A218" s="15" t="s">
        <v>72</v>
      </c>
      <c r="B218" s="67"/>
      <c r="C218" s="67"/>
      <c r="D218" s="66"/>
      <c r="E218" s="67"/>
      <c r="F218" s="67"/>
      <c r="G218" s="67"/>
      <c r="H218" s="67"/>
      <c r="I218" s="67"/>
      <c r="J218" s="67"/>
      <c r="K218" s="67"/>
      <c r="L218" s="67"/>
      <c r="M218" s="67"/>
    </row>
    <row r="219" spans="1:14" ht="15">
      <c r="A219" s="15" t="s">
        <v>73</v>
      </c>
      <c r="B219" s="67"/>
      <c r="C219" s="67"/>
      <c r="D219" s="66"/>
      <c r="E219" s="67"/>
      <c r="F219" s="67"/>
      <c r="G219" s="67"/>
      <c r="H219" s="67"/>
      <c r="I219" s="67"/>
      <c r="J219" s="67"/>
      <c r="K219" s="67"/>
      <c r="L219" s="67"/>
      <c r="M219" s="67"/>
    </row>
    <row r="220" spans="1:14" ht="15">
      <c r="A220" s="15" t="s">
        <v>74</v>
      </c>
      <c r="B220" s="67"/>
      <c r="C220" s="67"/>
      <c r="D220" s="66"/>
      <c r="E220" s="67"/>
      <c r="F220" s="67"/>
      <c r="G220" s="67"/>
      <c r="H220" s="67"/>
      <c r="I220" s="67"/>
      <c r="J220" s="67"/>
      <c r="K220" s="67"/>
      <c r="L220" s="67"/>
      <c r="M220" s="67"/>
    </row>
    <row r="221" spans="1:14">
      <c r="A221" s="94" t="s">
        <v>75</v>
      </c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</row>
    <row r="222" spans="1:14">
      <c r="A222" s="94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</row>
    <row r="223" spans="1:14">
      <c r="A223" s="94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</row>
    <row r="225" spans="1:14" ht="15">
      <c r="A225" s="12" t="s">
        <v>76</v>
      </c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64"/>
    </row>
    <row r="226" spans="1:14" ht="15">
      <c r="A226" s="12" t="s">
        <v>80</v>
      </c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64"/>
    </row>
    <row r="227" spans="1:14" ht="15">
      <c r="A227" s="12" t="s">
        <v>13</v>
      </c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64"/>
    </row>
  </sheetData>
  <mergeCells count="156">
    <mergeCell ref="B226:D226"/>
    <mergeCell ref="E226:G226"/>
    <mergeCell ref="H226:J226"/>
    <mergeCell ref="K226:M226"/>
    <mergeCell ref="B227:D227"/>
    <mergeCell ref="E227:G227"/>
    <mergeCell ref="H227:J227"/>
    <mergeCell ref="K227:M227"/>
    <mergeCell ref="B208:D208"/>
    <mergeCell ref="E208:G208"/>
    <mergeCell ref="H208:J208"/>
    <mergeCell ref="K208:M208"/>
    <mergeCell ref="A221:A223"/>
    <mergeCell ref="B225:D225"/>
    <mergeCell ref="E225:G225"/>
    <mergeCell ref="H225:J225"/>
    <mergeCell ref="K225:M225"/>
    <mergeCell ref="A202:A204"/>
    <mergeCell ref="B206:D206"/>
    <mergeCell ref="E206:G206"/>
    <mergeCell ref="H206:J206"/>
    <mergeCell ref="K206:M206"/>
    <mergeCell ref="B207:D207"/>
    <mergeCell ref="E207:G207"/>
    <mergeCell ref="H207:J207"/>
    <mergeCell ref="K207:M207"/>
    <mergeCell ref="A12:A14"/>
    <mergeCell ref="E16:G16"/>
    <mergeCell ref="E17:G17"/>
    <mergeCell ref="E18:G18"/>
    <mergeCell ref="A50:A52"/>
    <mergeCell ref="B54:D54"/>
    <mergeCell ref="E54:G54"/>
    <mergeCell ref="H54:J54"/>
    <mergeCell ref="K54:M54"/>
    <mergeCell ref="H16:J16"/>
    <mergeCell ref="H17:J17"/>
    <mergeCell ref="H18:J18"/>
    <mergeCell ref="K16:M16"/>
    <mergeCell ref="K17:M17"/>
    <mergeCell ref="K18:M18"/>
    <mergeCell ref="B18:D18"/>
    <mergeCell ref="B17:D17"/>
    <mergeCell ref="B16:D16"/>
    <mergeCell ref="A31:A33"/>
    <mergeCell ref="B35:D35"/>
    <mergeCell ref="E35:G35"/>
    <mergeCell ref="H35:J35"/>
    <mergeCell ref="K35:M35"/>
    <mergeCell ref="B36:D36"/>
    <mergeCell ref="H74:J74"/>
    <mergeCell ref="K74:M74"/>
    <mergeCell ref="B75:D75"/>
    <mergeCell ref="E75:G75"/>
    <mergeCell ref="H75:J75"/>
    <mergeCell ref="K75:M75"/>
    <mergeCell ref="B55:D55"/>
    <mergeCell ref="E55:G55"/>
    <mergeCell ref="H55:J55"/>
    <mergeCell ref="K55:M55"/>
    <mergeCell ref="B56:D56"/>
    <mergeCell ref="E56:G56"/>
    <mergeCell ref="H56:J56"/>
    <mergeCell ref="K56:M56"/>
    <mergeCell ref="B74:D74"/>
    <mergeCell ref="E74:G74"/>
    <mergeCell ref="E36:G36"/>
    <mergeCell ref="H36:J36"/>
    <mergeCell ref="K36:M36"/>
    <mergeCell ref="B37:D37"/>
    <mergeCell ref="E37:G37"/>
    <mergeCell ref="H37:J37"/>
    <mergeCell ref="K37:M37"/>
    <mergeCell ref="A69:A71"/>
    <mergeCell ref="B73:D73"/>
    <mergeCell ref="E73:G73"/>
    <mergeCell ref="H73:J73"/>
    <mergeCell ref="K73:M73"/>
    <mergeCell ref="B94:D94"/>
    <mergeCell ref="E94:G94"/>
    <mergeCell ref="H94:J94"/>
    <mergeCell ref="K94:M94"/>
    <mergeCell ref="A88:A90"/>
    <mergeCell ref="B92:D92"/>
    <mergeCell ref="E92:G92"/>
    <mergeCell ref="H92:J92"/>
    <mergeCell ref="K92:M92"/>
    <mergeCell ref="B93:D93"/>
    <mergeCell ref="E93:G93"/>
    <mergeCell ref="H93:J93"/>
    <mergeCell ref="K93:M93"/>
    <mergeCell ref="B112:D112"/>
    <mergeCell ref="E112:G112"/>
    <mergeCell ref="H112:J112"/>
    <mergeCell ref="K112:M112"/>
    <mergeCell ref="B113:D113"/>
    <mergeCell ref="E113:G113"/>
    <mergeCell ref="H113:J113"/>
    <mergeCell ref="K113:M113"/>
    <mergeCell ref="A107:A109"/>
    <mergeCell ref="B111:D111"/>
    <mergeCell ref="E111:G111"/>
    <mergeCell ref="H111:J111"/>
    <mergeCell ref="K111:M111"/>
    <mergeCell ref="B131:D131"/>
    <mergeCell ref="E131:G131"/>
    <mergeCell ref="H131:J131"/>
    <mergeCell ref="K131:M131"/>
    <mergeCell ref="B132:D132"/>
    <mergeCell ref="E132:G132"/>
    <mergeCell ref="H132:J132"/>
    <mergeCell ref="K132:M132"/>
    <mergeCell ref="A126:A128"/>
    <mergeCell ref="B130:D130"/>
    <mergeCell ref="E130:G130"/>
    <mergeCell ref="H130:J130"/>
    <mergeCell ref="K130:M130"/>
    <mergeCell ref="B150:D150"/>
    <mergeCell ref="E150:G150"/>
    <mergeCell ref="H150:J150"/>
    <mergeCell ref="K150:M150"/>
    <mergeCell ref="B151:D151"/>
    <mergeCell ref="E151:G151"/>
    <mergeCell ref="H151:J151"/>
    <mergeCell ref="K151:M151"/>
    <mergeCell ref="A145:A147"/>
    <mergeCell ref="B149:D149"/>
    <mergeCell ref="E149:G149"/>
    <mergeCell ref="H149:J149"/>
    <mergeCell ref="K149:M149"/>
    <mergeCell ref="B169:D169"/>
    <mergeCell ref="E169:G169"/>
    <mergeCell ref="H169:J169"/>
    <mergeCell ref="K169:M169"/>
    <mergeCell ref="B170:D170"/>
    <mergeCell ref="E170:G170"/>
    <mergeCell ref="H170:J170"/>
    <mergeCell ref="K170:M170"/>
    <mergeCell ref="A164:A166"/>
    <mergeCell ref="B168:D168"/>
    <mergeCell ref="E168:G168"/>
    <mergeCell ref="H168:J168"/>
    <mergeCell ref="K168:M168"/>
    <mergeCell ref="B188:D188"/>
    <mergeCell ref="E188:G188"/>
    <mergeCell ref="H188:J188"/>
    <mergeCell ref="K188:M188"/>
    <mergeCell ref="B189:D189"/>
    <mergeCell ref="E189:G189"/>
    <mergeCell ref="H189:J189"/>
    <mergeCell ref="K189:M189"/>
    <mergeCell ref="A183:A185"/>
    <mergeCell ref="B187:D187"/>
    <mergeCell ref="E187:G187"/>
    <mergeCell ref="H187:J187"/>
    <mergeCell ref="K187:M1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26E9-7FA7-4740-BFE4-31DDC8EC1A50}">
  <sheetPr codeName="Sheet3"/>
  <dimension ref="A1:T515"/>
  <sheetViews>
    <sheetView topLeftCell="A304" zoomScale="80" zoomScaleNormal="80" workbookViewId="0">
      <selection activeCell="G336" sqref="G336"/>
    </sheetView>
  </sheetViews>
  <sheetFormatPr defaultRowHeight="14.25"/>
  <cols>
    <col min="1" max="1" width="5" customWidth="1"/>
    <col min="2" max="2" width="52.625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23" t="s">
        <v>6</v>
      </c>
      <c r="R2" s="20">
        <v>46023</v>
      </c>
      <c r="S2" s="21">
        <f>M52</f>
        <v>0.81013157894736842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>
        <f>M178</f>
        <v>0.8</v>
      </c>
      <c r="T5" s="21" t="e">
        <f>N178</f>
        <v>#DIV/0!</v>
      </c>
    </row>
    <row r="6" spans="1:20" ht="15">
      <c r="A6" s="27">
        <v>3</v>
      </c>
      <c r="R6" s="20">
        <v>46143</v>
      </c>
      <c r="S6" s="21">
        <f>M220</f>
        <v>0.8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>
        <v>46037</v>
      </c>
      <c r="E14" s="46"/>
      <c r="F14" s="46">
        <v>46046</v>
      </c>
      <c r="G14" s="46"/>
      <c r="H14" s="46">
        <v>46053</v>
      </c>
      <c r="I14" s="46"/>
      <c r="J14" s="46">
        <v>46060</v>
      </c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 t="s">
        <v>78</v>
      </c>
      <c r="E16" s="7"/>
      <c r="F16" s="7" t="s">
        <v>78</v>
      </c>
      <c r="G16" s="7"/>
      <c r="H16" s="7" t="s">
        <v>78</v>
      </c>
      <c r="I16" s="7"/>
      <c r="J16" s="7" t="s">
        <v>78</v>
      </c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>
        <v>5</v>
      </c>
      <c r="E17" s="67"/>
      <c r="F17" s="67">
        <v>5</v>
      </c>
      <c r="G17" s="67"/>
      <c r="H17" s="67">
        <v>5</v>
      </c>
      <c r="I17" s="67"/>
      <c r="J17" s="67">
        <v>5</v>
      </c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>
        <v>4</v>
      </c>
      <c r="E19" s="67"/>
      <c r="F19" s="67">
        <v>4</v>
      </c>
      <c r="G19" s="67"/>
      <c r="H19" s="67">
        <v>4</v>
      </c>
      <c r="I19" s="67"/>
      <c r="J19" s="67">
        <v>4</v>
      </c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>
        <v>4</v>
      </c>
      <c r="E22" s="67"/>
      <c r="F22" s="67">
        <v>4</v>
      </c>
      <c r="G22" s="67"/>
      <c r="H22" s="67">
        <v>4</v>
      </c>
      <c r="I22" s="67"/>
      <c r="J22" s="67">
        <v>4</v>
      </c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>
        <v>4</v>
      </c>
      <c r="E23" s="67"/>
      <c r="F23" s="67">
        <v>4</v>
      </c>
      <c r="G23" s="67"/>
      <c r="H23" s="67">
        <v>4</v>
      </c>
      <c r="I23" s="67"/>
      <c r="J23" s="67">
        <v>4</v>
      </c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>
        <v>4</v>
      </c>
      <c r="E24" s="67"/>
      <c r="F24" s="67">
        <v>4</v>
      </c>
      <c r="G24" s="67"/>
      <c r="H24" s="67">
        <v>4</v>
      </c>
      <c r="I24" s="67"/>
      <c r="J24" s="67">
        <v>4</v>
      </c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>
        <v>4</v>
      </c>
      <c r="E27" s="67"/>
      <c r="F27" s="67">
        <v>4</v>
      </c>
      <c r="G27" s="67"/>
      <c r="H27" s="67">
        <v>4</v>
      </c>
      <c r="I27" s="67"/>
      <c r="J27" s="67">
        <v>4</v>
      </c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>
        <v>4</v>
      </c>
      <c r="E28" s="67"/>
      <c r="F28" s="67">
        <v>4</v>
      </c>
      <c r="G28" s="67"/>
      <c r="H28" s="67">
        <v>4</v>
      </c>
      <c r="I28" s="67"/>
      <c r="J28" s="67">
        <v>4</v>
      </c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>
        <v>4</v>
      </c>
      <c r="E30" s="67"/>
      <c r="F30" s="67">
        <v>4</v>
      </c>
      <c r="G30" s="67"/>
      <c r="H30" s="67">
        <v>4</v>
      </c>
      <c r="I30" s="67"/>
      <c r="J30" s="67">
        <v>4</v>
      </c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>
        <v>4</v>
      </c>
      <c r="E33" s="67"/>
      <c r="F33" s="67">
        <v>4</v>
      </c>
      <c r="G33" s="67"/>
      <c r="H33" s="67">
        <v>4</v>
      </c>
      <c r="I33" s="67"/>
      <c r="J33" s="67">
        <v>4</v>
      </c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>
        <v>4</v>
      </c>
      <c r="E34" s="67"/>
      <c r="F34" s="67">
        <v>4</v>
      </c>
      <c r="G34" s="67"/>
      <c r="H34" s="67">
        <v>4</v>
      </c>
      <c r="I34" s="67"/>
      <c r="J34" s="67">
        <v>4</v>
      </c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>
        <v>4</v>
      </c>
      <c r="E35" s="67"/>
      <c r="F35" s="67">
        <v>4</v>
      </c>
      <c r="G35" s="67"/>
      <c r="H35" s="67">
        <v>4</v>
      </c>
      <c r="I35" s="67"/>
      <c r="J35" s="67">
        <v>4</v>
      </c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>
        <v>4</v>
      </c>
      <c r="E36" s="67"/>
      <c r="F36" s="67">
        <v>4</v>
      </c>
      <c r="G36" s="67"/>
      <c r="H36" s="67">
        <v>4</v>
      </c>
      <c r="I36" s="67"/>
      <c r="J36" s="67">
        <v>4</v>
      </c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>
        <v>4</v>
      </c>
      <c r="E37" s="67"/>
      <c r="F37" s="67">
        <v>4</v>
      </c>
      <c r="G37" s="67"/>
      <c r="H37" s="67">
        <v>4</v>
      </c>
      <c r="I37" s="67"/>
      <c r="J37" s="67">
        <v>4</v>
      </c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>
        <v>4</v>
      </c>
      <c r="E40" s="67"/>
      <c r="F40" s="67">
        <v>4</v>
      </c>
      <c r="G40" s="67"/>
      <c r="H40" s="67">
        <v>4</v>
      </c>
      <c r="I40" s="67"/>
      <c r="J40" s="67">
        <v>4</v>
      </c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>
        <v>4</v>
      </c>
      <c r="E41" s="67"/>
      <c r="F41" s="67">
        <v>4</v>
      </c>
      <c r="G41" s="67"/>
      <c r="H41" s="67">
        <v>4</v>
      </c>
      <c r="I41" s="67"/>
      <c r="J41" s="67">
        <v>4</v>
      </c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>
        <v>4</v>
      </c>
      <c r="E42" s="67"/>
      <c r="F42" s="67">
        <v>4</v>
      </c>
      <c r="G42" s="67"/>
      <c r="H42" s="67">
        <v>4</v>
      </c>
      <c r="I42" s="67"/>
      <c r="J42" s="67">
        <v>4</v>
      </c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>
        <v>4</v>
      </c>
      <c r="G43" s="67"/>
      <c r="H43" s="67">
        <v>4</v>
      </c>
      <c r="I43" s="67"/>
      <c r="J43" s="67">
        <v>4</v>
      </c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>
        <v>4</v>
      </c>
      <c r="E44" s="67"/>
      <c r="F44" s="67">
        <v>4</v>
      </c>
      <c r="G44" s="67"/>
      <c r="H44" s="67">
        <v>4</v>
      </c>
      <c r="I44" s="67"/>
      <c r="J44" s="67">
        <v>4</v>
      </c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>
        <v>4</v>
      </c>
      <c r="E45" s="67"/>
      <c r="F45" s="67">
        <v>4</v>
      </c>
      <c r="G45" s="67"/>
      <c r="H45" s="67">
        <v>4</v>
      </c>
      <c r="I45" s="67"/>
      <c r="J45" s="67">
        <v>4</v>
      </c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>
        <v>4</v>
      </c>
      <c r="E48" s="67"/>
      <c r="F48" s="67">
        <v>4</v>
      </c>
      <c r="G48" s="67"/>
      <c r="H48" s="67">
        <v>4</v>
      </c>
      <c r="I48" s="67"/>
      <c r="J48" s="67">
        <v>4</v>
      </c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1" spans="1:16" ht="15">
      <c r="B51" s="71" t="s">
        <v>44</v>
      </c>
      <c r="C51" s="71"/>
      <c r="D51" s="1">
        <f>SUM(D17:D48)</f>
        <v>77</v>
      </c>
      <c r="E51" s="1">
        <f t="shared" ref="E51:K51" si="0">SUM(E17:E48)</f>
        <v>0</v>
      </c>
      <c r="F51" s="1">
        <f t="shared" si="0"/>
        <v>81</v>
      </c>
      <c r="G51" s="1">
        <f t="shared" si="0"/>
        <v>0</v>
      </c>
      <c r="H51" s="1">
        <f t="shared" si="0"/>
        <v>81</v>
      </c>
      <c r="I51" s="1">
        <f t="shared" si="0"/>
        <v>0</v>
      </c>
      <c r="J51" s="1">
        <f t="shared" si="0"/>
        <v>81</v>
      </c>
      <c r="K51" s="1">
        <f t="shared" si="0"/>
        <v>0</v>
      </c>
      <c r="M51" s="17" t="s">
        <v>2</v>
      </c>
      <c r="N51" s="17" t="s">
        <v>3</v>
      </c>
    </row>
    <row r="52" spans="1:16" ht="15">
      <c r="C52" s="64"/>
      <c r="D52" s="1">
        <f>COUNT(D17:D49)*5</f>
        <v>95</v>
      </c>
      <c r="E52" s="1">
        <f t="shared" ref="E52:K52" si="1">COUNT(E17:E49)*5</f>
        <v>0</v>
      </c>
      <c r="F52" s="1">
        <f t="shared" si="1"/>
        <v>100</v>
      </c>
      <c r="G52" s="1">
        <f t="shared" si="1"/>
        <v>0</v>
      </c>
      <c r="H52" s="1">
        <f t="shared" si="1"/>
        <v>100</v>
      </c>
      <c r="I52" s="1">
        <f t="shared" si="1"/>
        <v>0</v>
      </c>
      <c r="J52" s="1">
        <f t="shared" si="1"/>
        <v>100</v>
      </c>
      <c r="K52" s="1">
        <f t="shared" si="1"/>
        <v>0</v>
      </c>
      <c r="M52" s="18">
        <f>(D53+F53+H53+J53)/4</f>
        <v>0.81013157894736842</v>
      </c>
      <c r="N52" s="18" t="e">
        <f>(E53+G53+I53+K53)/4</f>
        <v>#DIV/0!</v>
      </c>
    </row>
    <row r="53" spans="1:16" ht="15">
      <c r="C53" s="2" t="s">
        <v>45</v>
      </c>
      <c r="D53" s="11">
        <f>D51/D52</f>
        <v>0.81052631578947365</v>
      </c>
      <c r="E53" s="11" t="e">
        <f t="shared" ref="E53:K53" si="2">E51/E52</f>
        <v>#DIV/0!</v>
      </c>
      <c r="F53" s="11">
        <f t="shared" si="2"/>
        <v>0.81</v>
      </c>
      <c r="G53" s="11" t="e">
        <f t="shared" si="2"/>
        <v>#DIV/0!</v>
      </c>
      <c r="H53" s="11">
        <f t="shared" si="2"/>
        <v>0.81</v>
      </c>
      <c r="I53" s="11" t="e">
        <f t="shared" si="2"/>
        <v>#DIV/0!</v>
      </c>
      <c r="J53" s="11">
        <f t="shared" si="2"/>
        <v>0.81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>
        <v>46067</v>
      </c>
      <c r="E56" s="29"/>
      <c r="F56" s="29">
        <v>46074</v>
      </c>
      <c r="G56" s="29"/>
      <c r="H56" s="29">
        <v>46081</v>
      </c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 t="s">
        <v>78</v>
      </c>
      <c r="E58" s="6"/>
      <c r="F58" s="6" t="s">
        <v>78</v>
      </c>
      <c r="G58" s="6"/>
      <c r="H58" s="6" t="s">
        <v>78</v>
      </c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>
        <v>4</v>
      </c>
      <c r="E59" s="8"/>
      <c r="F59" s="8">
        <v>4</v>
      </c>
      <c r="G59" s="8"/>
      <c r="H59" s="8">
        <v>4</v>
      </c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>
        <v>4</v>
      </c>
      <c r="E61" s="8"/>
      <c r="F61" s="8">
        <v>4</v>
      </c>
      <c r="G61" s="8"/>
      <c r="H61" s="8">
        <v>4</v>
      </c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>
        <v>4</v>
      </c>
      <c r="E64" s="8"/>
      <c r="F64" s="8">
        <v>4</v>
      </c>
      <c r="G64" s="8"/>
      <c r="H64" s="8">
        <v>4</v>
      </c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>
        <v>4</v>
      </c>
      <c r="E65" s="8"/>
      <c r="F65" s="8">
        <v>4</v>
      </c>
      <c r="G65" s="8"/>
      <c r="H65" s="8">
        <v>4</v>
      </c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>
        <v>4</v>
      </c>
      <c r="E66" s="8"/>
      <c r="F66" s="8">
        <v>4</v>
      </c>
      <c r="G66" s="8"/>
      <c r="H66" s="8">
        <v>4</v>
      </c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>
        <v>4</v>
      </c>
      <c r="E69" s="8"/>
      <c r="F69" s="8">
        <v>4</v>
      </c>
      <c r="G69" s="8"/>
      <c r="H69" s="8">
        <v>4</v>
      </c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>
        <v>4</v>
      </c>
      <c r="E70" s="8"/>
      <c r="F70" s="8">
        <v>4</v>
      </c>
      <c r="G70" s="8"/>
      <c r="H70" s="8">
        <v>4</v>
      </c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>
        <v>4</v>
      </c>
      <c r="E72" s="8"/>
      <c r="F72" s="8">
        <v>4</v>
      </c>
      <c r="G72" s="8"/>
      <c r="H72" s="8">
        <v>4</v>
      </c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>
        <v>4</v>
      </c>
      <c r="E75" s="8"/>
      <c r="F75" s="8">
        <v>4</v>
      </c>
      <c r="G75" s="8"/>
      <c r="H75" s="8">
        <v>4</v>
      </c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>
        <v>4</v>
      </c>
      <c r="E76" s="8"/>
      <c r="F76" s="8">
        <v>4</v>
      </c>
      <c r="G76" s="8"/>
      <c r="H76" s="8">
        <v>4</v>
      </c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>
        <v>4</v>
      </c>
      <c r="E77" s="8"/>
      <c r="F77" s="8">
        <v>4</v>
      </c>
      <c r="G77" s="8"/>
      <c r="H77" s="8">
        <v>4</v>
      </c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>
        <v>4</v>
      </c>
      <c r="E78" s="8"/>
      <c r="F78" s="8">
        <v>4</v>
      </c>
      <c r="G78" s="8"/>
      <c r="H78" s="8">
        <v>4</v>
      </c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>
        <v>4</v>
      </c>
      <c r="E79" s="8"/>
      <c r="F79" s="8">
        <v>4</v>
      </c>
      <c r="G79" s="8"/>
      <c r="H79" s="8">
        <v>4</v>
      </c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>
        <v>4</v>
      </c>
      <c r="E82" s="8"/>
      <c r="F82" s="8">
        <v>4</v>
      </c>
      <c r="G82" s="8"/>
      <c r="H82" s="8">
        <v>4</v>
      </c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>
        <v>4</v>
      </c>
      <c r="E83" s="8"/>
      <c r="F83" s="8">
        <v>4</v>
      </c>
      <c r="G83" s="8"/>
      <c r="H83" s="8">
        <v>4</v>
      </c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>
        <v>4</v>
      </c>
      <c r="E84" s="8"/>
      <c r="F84" s="8">
        <v>4</v>
      </c>
      <c r="G84" s="8"/>
      <c r="H84" s="8">
        <v>4</v>
      </c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>
        <v>4</v>
      </c>
      <c r="E85" s="8"/>
      <c r="F85" s="8">
        <v>4</v>
      </c>
      <c r="G85" s="8"/>
      <c r="H85" s="8">
        <v>4</v>
      </c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>
        <v>4</v>
      </c>
      <c r="E86" s="8"/>
      <c r="F86" s="8">
        <v>4</v>
      </c>
      <c r="G86" s="8"/>
      <c r="H86" s="8">
        <v>4</v>
      </c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>
        <v>4</v>
      </c>
      <c r="E90" s="8"/>
      <c r="F90" s="8">
        <v>4</v>
      </c>
      <c r="G90" s="8"/>
      <c r="H90" s="8">
        <v>4</v>
      </c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3" spans="1:16" ht="15">
      <c r="B93" s="71" t="s">
        <v>44</v>
      </c>
      <c r="C93" s="71"/>
      <c r="D93" s="1">
        <f>SUM(D59:D90)</f>
        <v>76</v>
      </c>
      <c r="E93" s="1">
        <f t="shared" ref="E93:K93" si="3">SUM(E59:E90)</f>
        <v>0</v>
      </c>
      <c r="F93" s="1">
        <f t="shared" si="3"/>
        <v>76</v>
      </c>
      <c r="G93" s="1">
        <f t="shared" si="3"/>
        <v>0</v>
      </c>
      <c r="H93" s="1">
        <f t="shared" si="3"/>
        <v>76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C94" s="64"/>
      <c r="D94" s="1">
        <f>COUNT(D59:D91)*5</f>
        <v>95</v>
      </c>
      <c r="E94" s="1">
        <f t="shared" ref="E94:K94" si="4">COUNT(E59:E91)*5</f>
        <v>0</v>
      </c>
      <c r="F94" s="1">
        <f t="shared" si="4"/>
        <v>95</v>
      </c>
      <c r="G94" s="1">
        <f t="shared" si="4"/>
        <v>0</v>
      </c>
      <c r="H94" s="1">
        <f t="shared" si="4"/>
        <v>95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C95" s="2" t="s">
        <v>45</v>
      </c>
      <c r="D95" s="11">
        <f>D93/D94</f>
        <v>0.8</v>
      </c>
      <c r="E95" s="11" t="e">
        <f t="shared" ref="E95:K95" si="5">E93/E94</f>
        <v>#DIV/0!</v>
      </c>
      <c r="F95" s="11">
        <f t="shared" si="5"/>
        <v>0.8</v>
      </c>
      <c r="G95" s="11" t="e">
        <f t="shared" si="5"/>
        <v>#DIV/0!</v>
      </c>
      <c r="H95" s="11">
        <f t="shared" si="5"/>
        <v>0.8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>
        <v>46082</v>
      </c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 t="s">
        <v>78</v>
      </c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>
        <v>4</v>
      </c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>
        <v>4</v>
      </c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>
        <v>4</v>
      </c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>
        <v>4</v>
      </c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>
        <v>4</v>
      </c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>
        <v>4</v>
      </c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>
        <v>4</v>
      </c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>
        <v>4</v>
      </c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>
        <v>4</v>
      </c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>
        <v>4</v>
      </c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>
        <v>4</v>
      </c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>
        <v>4</v>
      </c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>
        <v>4</v>
      </c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>
        <v>4</v>
      </c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>
        <v>4</v>
      </c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>
        <v>4</v>
      </c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>
        <v>4</v>
      </c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>
        <v>4</v>
      </c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>
        <v>4</v>
      </c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5" spans="1:16" ht="15">
      <c r="B135" s="71" t="s">
        <v>44</v>
      </c>
      <c r="C135" s="71"/>
      <c r="D135" s="1">
        <f>SUM(D101:D132)</f>
        <v>76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C136" s="64"/>
      <c r="D136" s="1">
        <f>COUNT(D101:D133)*5</f>
        <v>95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C137" s="2" t="s">
        <v>45</v>
      </c>
      <c r="D137" s="11">
        <f>D135/D136</f>
        <v>0.8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>
        <v>46117</v>
      </c>
      <c r="E140" s="29"/>
      <c r="F140" s="42">
        <v>46124</v>
      </c>
      <c r="G140" s="42"/>
      <c r="H140" s="42">
        <v>46131</v>
      </c>
      <c r="I140" s="42"/>
      <c r="J140" s="42">
        <v>46138</v>
      </c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 t="s">
        <v>90</v>
      </c>
      <c r="E142" s="6"/>
      <c r="F142" s="38" t="s">
        <v>90</v>
      </c>
      <c r="G142" s="38"/>
      <c r="H142" s="38" t="s">
        <v>90</v>
      </c>
      <c r="I142" s="38"/>
      <c r="J142" s="38" t="s">
        <v>90</v>
      </c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>
        <v>4</v>
      </c>
      <c r="E143" s="8"/>
      <c r="F143" s="67">
        <v>4</v>
      </c>
      <c r="G143" s="67"/>
      <c r="H143" s="67">
        <v>4</v>
      </c>
      <c r="I143" s="67"/>
      <c r="J143" s="67">
        <v>4</v>
      </c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>
        <v>4</v>
      </c>
      <c r="E145" s="8"/>
      <c r="F145" s="67">
        <v>4</v>
      </c>
      <c r="G145" s="67"/>
      <c r="H145" s="67">
        <v>4</v>
      </c>
      <c r="I145" s="67"/>
      <c r="J145" s="67">
        <v>4</v>
      </c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>
        <v>4</v>
      </c>
      <c r="E148" s="8"/>
      <c r="F148" s="67">
        <v>4</v>
      </c>
      <c r="G148" s="67"/>
      <c r="H148" s="67">
        <v>4</v>
      </c>
      <c r="I148" s="67"/>
      <c r="J148" s="67">
        <v>4</v>
      </c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>
        <v>4</v>
      </c>
      <c r="E149" s="8"/>
      <c r="F149" s="67">
        <v>4</v>
      </c>
      <c r="G149" s="67"/>
      <c r="H149" s="67">
        <v>4</v>
      </c>
      <c r="I149" s="67"/>
      <c r="J149" s="67">
        <v>4</v>
      </c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>
        <v>4</v>
      </c>
      <c r="E150" s="8"/>
      <c r="F150" s="67">
        <v>4</v>
      </c>
      <c r="G150" s="67"/>
      <c r="H150" s="67">
        <v>4</v>
      </c>
      <c r="I150" s="67"/>
      <c r="J150" s="67">
        <v>4</v>
      </c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>
        <v>4</v>
      </c>
      <c r="E153" s="8"/>
      <c r="F153" s="67">
        <v>4</v>
      </c>
      <c r="G153" s="67"/>
      <c r="H153" s="67">
        <v>4</v>
      </c>
      <c r="I153" s="67"/>
      <c r="J153" s="67">
        <v>4</v>
      </c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>
        <v>4</v>
      </c>
      <c r="E154" s="8"/>
      <c r="F154" s="67">
        <v>4</v>
      </c>
      <c r="G154" s="67"/>
      <c r="H154" s="67">
        <v>4</v>
      </c>
      <c r="I154" s="67"/>
      <c r="J154" s="67">
        <v>4</v>
      </c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>
        <v>4</v>
      </c>
      <c r="E156" s="8"/>
      <c r="F156" s="67">
        <v>4</v>
      </c>
      <c r="G156" s="67"/>
      <c r="H156" s="67">
        <v>4</v>
      </c>
      <c r="I156" s="67"/>
      <c r="J156" s="67">
        <v>4</v>
      </c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>
        <v>4</v>
      </c>
      <c r="E159" s="8"/>
      <c r="F159" s="67">
        <v>4</v>
      </c>
      <c r="G159" s="67"/>
      <c r="H159" s="67">
        <v>4</v>
      </c>
      <c r="I159" s="67"/>
      <c r="J159" s="67">
        <v>4</v>
      </c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>
        <v>4</v>
      </c>
      <c r="E160" s="8"/>
      <c r="F160" s="67">
        <v>4</v>
      </c>
      <c r="G160" s="67"/>
      <c r="H160" s="67">
        <v>4</v>
      </c>
      <c r="I160" s="67"/>
      <c r="J160" s="67">
        <v>4</v>
      </c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>
        <v>4</v>
      </c>
      <c r="E161" s="8"/>
      <c r="F161" s="67">
        <v>4</v>
      </c>
      <c r="G161" s="67"/>
      <c r="H161" s="67">
        <v>4</v>
      </c>
      <c r="I161" s="67"/>
      <c r="J161" s="67">
        <v>4</v>
      </c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>
        <v>4</v>
      </c>
      <c r="E162" s="8"/>
      <c r="F162" s="67">
        <v>4</v>
      </c>
      <c r="G162" s="67"/>
      <c r="H162" s="67">
        <v>4</v>
      </c>
      <c r="I162" s="67"/>
      <c r="J162" s="67">
        <v>4</v>
      </c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>
        <v>4</v>
      </c>
      <c r="E163" s="8"/>
      <c r="F163" s="67">
        <v>4</v>
      </c>
      <c r="G163" s="67"/>
      <c r="H163" s="67">
        <v>4</v>
      </c>
      <c r="I163" s="67"/>
      <c r="J163" s="67">
        <v>4</v>
      </c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>
        <v>4</v>
      </c>
      <c r="E166" s="8"/>
      <c r="F166" s="67">
        <v>4</v>
      </c>
      <c r="G166" s="67"/>
      <c r="H166" s="67">
        <v>4</v>
      </c>
      <c r="I166" s="67"/>
      <c r="J166" s="67">
        <v>4</v>
      </c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>
        <v>4</v>
      </c>
      <c r="E167" s="8"/>
      <c r="F167" s="67">
        <v>4</v>
      </c>
      <c r="G167" s="67"/>
      <c r="H167" s="67">
        <v>4</v>
      </c>
      <c r="I167" s="67"/>
      <c r="J167" s="67">
        <v>4</v>
      </c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>
        <v>4</v>
      </c>
      <c r="E168" s="8"/>
      <c r="F168" s="67">
        <v>4</v>
      </c>
      <c r="G168" s="67"/>
      <c r="H168" s="67">
        <v>4</v>
      </c>
      <c r="I168" s="67"/>
      <c r="J168" s="67">
        <v>4</v>
      </c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>
        <v>4</v>
      </c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>
        <v>4</v>
      </c>
      <c r="E170" s="8"/>
      <c r="F170" s="67">
        <v>4</v>
      </c>
      <c r="G170" s="67"/>
      <c r="H170" s="67">
        <v>4</v>
      </c>
      <c r="I170" s="67"/>
      <c r="J170" s="67">
        <v>4</v>
      </c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/>
      <c r="E171" s="8"/>
      <c r="F171" s="67"/>
      <c r="G171" s="67"/>
      <c r="H171" s="67"/>
      <c r="I171" s="67"/>
      <c r="J171" s="67"/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>
        <v>4</v>
      </c>
      <c r="E174" s="8"/>
      <c r="F174" s="67">
        <v>4</v>
      </c>
      <c r="G174" s="67"/>
      <c r="H174" s="67">
        <v>4</v>
      </c>
      <c r="I174" s="67"/>
      <c r="J174" s="67">
        <v>4</v>
      </c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7" spans="1:16" ht="15">
      <c r="B177" s="71" t="s">
        <v>44</v>
      </c>
      <c r="C177" s="71"/>
      <c r="D177" s="1">
        <f>SUM(D143:D174)</f>
        <v>72</v>
      </c>
      <c r="E177" s="1">
        <f t="shared" ref="E177:K177" si="9">SUM(E143:E174)</f>
        <v>0</v>
      </c>
      <c r="F177" s="1">
        <f t="shared" si="9"/>
        <v>72</v>
      </c>
      <c r="G177" s="1">
        <f t="shared" si="9"/>
        <v>0</v>
      </c>
      <c r="H177" s="1">
        <f t="shared" si="9"/>
        <v>72</v>
      </c>
      <c r="I177" s="1">
        <f t="shared" si="9"/>
        <v>0</v>
      </c>
      <c r="J177" s="1">
        <f t="shared" si="9"/>
        <v>76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C178" s="64"/>
      <c r="D178" s="1">
        <f>COUNT(D143:D175)*5</f>
        <v>90</v>
      </c>
      <c r="E178" s="1">
        <f t="shared" ref="E178:K178" si="10">COUNT(E143:E175)*5</f>
        <v>0</v>
      </c>
      <c r="F178" s="1">
        <f t="shared" si="10"/>
        <v>90</v>
      </c>
      <c r="G178" s="1">
        <f t="shared" si="10"/>
        <v>0</v>
      </c>
      <c r="H178" s="1">
        <f t="shared" si="10"/>
        <v>90</v>
      </c>
      <c r="I178" s="1">
        <f t="shared" si="10"/>
        <v>0</v>
      </c>
      <c r="J178" s="1">
        <f t="shared" si="10"/>
        <v>95</v>
      </c>
      <c r="K178" s="1">
        <f t="shared" si="10"/>
        <v>0</v>
      </c>
      <c r="M178" s="18">
        <f>(D179+F179+H179+J179)/4</f>
        <v>0.8</v>
      </c>
      <c r="N178" s="18" t="e">
        <f>(E179+G179+I179+K179)/4</f>
        <v>#DIV/0!</v>
      </c>
    </row>
    <row r="179" spans="1:16" ht="15">
      <c r="C179" s="2" t="s">
        <v>45</v>
      </c>
      <c r="D179" s="11">
        <f>D177/D178</f>
        <v>0.8</v>
      </c>
      <c r="E179" s="11" t="e">
        <f t="shared" ref="E179:K179" si="11">E177/E178</f>
        <v>#DIV/0!</v>
      </c>
      <c r="F179" s="11">
        <f t="shared" si="11"/>
        <v>0.8</v>
      </c>
      <c r="G179" s="11" t="e">
        <f t="shared" si="11"/>
        <v>#DIV/0!</v>
      </c>
      <c r="H179" s="11">
        <f t="shared" si="11"/>
        <v>0.8</v>
      </c>
      <c r="I179" s="11" t="e">
        <f t="shared" si="11"/>
        <v>#DIV/0!</v>
      </c>
      <c r="J179" s="11">
        <f t="shared" si="11"/>
        <v>0.8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>
        <v>46145</v>
      </c>
      <c r="E182" s="46"/>
      <c r="F182" s="42">
        <v>46152</v>
      </c>
      <c r="G182" s="42"/>
      <c r="H182" s="42">
        <v>46159</v>
      </c>
      <c r="I182" s="42"/>
      <c r="J182" s="42">
        <v>46166</v>
      </c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 t="s">
        <v>90</v>
      </c>
      <c r="E184" s="7"/>
      <c r="F184" s="38" t="s">
        <v>90</v>
      </c>
      <c r="G184" s="38"/>
      <c r="H184" s="38" t="s">
        <v>90</v>
      </c>
      <c r="I184" s="38"/>
      <c r="J184" s="38" t="s">
        <v>90</v>
      </c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>
        <v>4</v>
      </c>
      <c r="E185" s="65"/>
      <c r="F185" s="67">
        <v>4</v>
      </c>
      <c r="G185" s="67"/>
      <c r="H185" s="67">
        <v>4</v>
      </c>
      <c r="I185" s="67"/>
      <c r="J185" s="67">
        <v>4</v>
      </c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>
        <v>4</v>
      </c>
      <c r="E187" s="65"/>
      <c r="F187" s="67">
        <v>4</v>
      </c>
      <c r="G187" s="67"/>
      <c r="H187" s="67">
        <v>4</v>
      </c>
      <c r="I187" s="67"/>
      <c r="J187" s="67">
        <v>4</v>
      </c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>
        <v>4</v>
      </c>
      <c r="E190" s="65"/>
      <c r="F190" s="67">
        <v>4</v>
      </c>
      <c r="G190" s="67"/>
      <c r="H190" s="67">
        <v>4</v>
      </c>
      <c r="I190" s="67"/>
      <c r="J190" s="67">
        <v>4</v>
      </c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>
        <v>4</v>
      </c>
      <c r="E191" s="65"/>
      <c r="F191" s="67">
        <v>4</v>
      </c>
      <c r="G191" s="67"/>
      <c r="H191" s="67">
        <v>4</v>
      </c>
      <c r="I191" s="67"/>
      <c r="J191" s="67">
        <v>4</v>
      </c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>
        <v>4</v>
      </c>
      <c r="E192" s="65"/>
      <c r="F192" s="67">
        <v>4</v>
      </c>
      <c r="G192" s="67"/>
      <c r="H192" s="67">
        <v>4</v>
      </c>
      <c r="I192" s="67"/>
      <c r="J192" s="67">
        <v>4</v>
      </c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>
        <v>4</v>
      </c>
      <c r="E195" s="65"/>
      <c r="F195" s="67">
        <v>4</v>
      </c>
      <c r="G195" s="67"/>
      <c r="H195" s="67">
        <v>4</v>
      </c>
      <c r="I195" s="67"/>
      <c r="J195" s="67">
        <v>4</v>
      </c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>
        <v>4</v>
      </c>
      <c r="E196" s="65"/>
      <c r="F196" s="67">
        <v>4</v>
      </c>
      <c r="G196" s="67"/>
      <c r="H196" s="67">
        <v>4</v>
      </c>
      <c r="I196" s="67"/>
      <c r="J196" s="67">
        <v>4</v>
      </c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>
        <v>4</v>
      </c>
      <c r="E198" s="65"/>
      <c r="F198" s="67">
        <v>4</v>
      </c>
      <c r="G198" s="67"/>
      <c r="H198" s="67">
        <v>4</v>
      </c>
      <c r="I198" s="67"/>
      <c r="J198" s="67">
        <v>4</v>
      </c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>
        <v>4</v>
      </c>
      <c r="E201" s="65"/>
      <c r="F201" s="67">
        <v>4</v>
      </c>
      <c r="G201" s="67"/>
      <c r="H201" s="67">
        <v>4</v>
      </c>
      <c r="I201" s="67"/>
      <c r="J201" s="67">
        <v>4</v>
      </c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>
        <v>4</v>
      </c>
      <c r="E202" s="65"/>
      <c r="F202" s="67">
        <v>4</v>
      </c>
      <c r="G202" s="67"/>
      <c r="H202" s="67">
        <v>4</v>
      </c>
      <c r="I202" s="67"/>
      <c r="J202" s="67">
        <v>4</v>
      </c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>
        <v>4</v>
      </c>
      <c r="E203" s="65"/>
      <c r="F203" s="67">
        <v>4</v>
      </c>
      <c r="G203" s="67"/>
      <c r="H203" s="67">
        <v>4</v>
      </c>
      <c r="I203" s="67"/>
      <c r="J203" s="67">
        <v>4</v>
      </c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>
        <v>4</v>
      </c>
      <c r="E204" s="65"/>
      <c r="F204" s="67">
        <v>4</v>
      </c>
      <c r="G204" s="67"/>
      <c r="H204" s="67">
        <v>4</v>
      </c>
      <c r="I204" s="67"/>
      <c r="J204" s="67">
        <v>4</v>
      </c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>
        <v>4</v>
      </c>
      <c r="E205" s="65"/>
      <c r="F205" s="67">
        <v>4</v>
      </c>
      <c r="G205" s="67"/>
      <c r="H205" s="67">
        <v>4</v>
      </c>
      <c r="I205" s="67"/>
      <c r="J205" s="67">
        <v>4</v>
      </c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>
        <v>4</v>
      </c>
      <c r="E208" s="65"/>
      <c r="F208" s="67">
        <v>4</v>
      </c>
      <c r="G208" s="67"/>
      <c r="H208" s="67">
        <v>4</v>
      </c>
      <c r="I208" s="67"/>
      <c r="J208" s="67">
        <v>4</v>
      </c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>
        <v>4</v>
      </c>
      <c r="E209" s="65"/>
      <c r="F209" s="67">
        <v>4</v>
      </c>
      <c r="G209" s="67"/>
      <c r="H209" s="67">
        <v>4</v>
      </c>
      <c r="I209" s="67"/>
      <c r="J209" s="67">
        <v>4</v>
      </c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>
        <v>4</v>
      </c>
      <c r="E210" s="65"/>
      <c r="F210" s="67">
        <v>4</v>
      </c>
      <c r="G210" s="67"/>
      <c r="H210" s="67">
        <v>4</v>
      </c>
      <c r="I210" s="67"/>
      <c r="J210" s="67">
        <v>4</v>
      </c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>
        <v>4</v>
      </c>
      <c r="E212" s="65"/>
      <c r="F212" s="67">
        <v>4</v>
      </c>
      <c r="G212" s="67"/>
      <c r="H212" s="67">
        <v>4</v>
      </c>
      <c r="I212" s="67"/>
      <c r="J212" s="67">
        <v>4</v>
      </c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/>
      <c r="E213" s="65"/>
      <c r="F213" s="67"/>
      <c r="G213" s="67"/>
      <c r="H213" s="67"/>
      <c r="I213" s="67"/>
      <c r="J213" s="67"/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>
        <v>4</v>
      </c>
      <c r="E216" s="65"/>
      <c r="F216" s="67">
        <v>4</v>
      </c>
      <c r="G216" s="67"/>
      <c r="H216" s="67">
        <v>4</v>
      </c>
      <c r="I216" s="67"/>
      <c r="J216" s="67">
        <v>4</v>
      </c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9" spans="1:16" ht="15">
      <c r="B219" s="71" t="s">
        <v>44</v>
      </c>
      <c r="C219" s="71"/>
      <c r="D219" s="1">
        <f>SUM(D185:D216)</f>
        <v>72</v>
      </c>
      <c r="E219" s="1">
        <f t="shared" ref="E219:K219" si="12">SUM(E185:E216)</f>
        <v>0</v>
      </c>
      <c r="F219" s="1">
        <f t="shared" si="12"/>
        <v>72</v>
      </c>
      <c r="G219" s="1">
        <f t="shared" si="12"/>
        <v>0</v>
      </c>
      <c r="H219" s="1">
        <f t="shared" si="12"/>
        <v>72</v>
      </c>
      <c r="I219" s="1">
        <f t="shared" si="12"/>
        <v>0</v>
      </c>
      <c r="J219" s="1">
        <f t="shared" si="12"/>
        <v>72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C220" s="64"/>
      <c r="D220" s="1">
        <f>COUNT(D185:D217)*5</f>
        <v>90</v>
      </c>
      <c r="E220" s="1">
        <f t="shared" ref="E220:K220" si="13">COUNT(E185:E217)*5</f>
        <v>0</v>
      </c>
      <c r="F220" s="1">
        <f t="shared" si="13"/>
        <v>90</v>
      </c>
      <c r="G220" s="1">
        <f t="shared" si="13"/>
        <v>0</v>
      </c>
      <c r="H220" s="1">
        <f t="shared" si="13"/>
        <v>90</v>
      </c>
      <c r="I220" s="1">
        <f t="shared" si="13"/>
        <v>0</v>
      </c>
      <c r="J220" s="1">
        <f t="shared" si="13"/>
        <v>90</v>
      </c>
      <c r="K220" s="1">
        <f t="shared" si="13"/>
        <v>0</v>
      </c>
      <c r="M220" s="18">
        <f>(D221+F221+H221+J221)/4</f>
        <v>0.8</v>
      </c>
      <c r="N220" s="18" t="e">
        <f>(E221+G221+I221+K221)/4</f>
        <v>#DIV/0!</v>
      </c>
    </row>
    <row r="221" spans="1:16" ht="15">
      <c r="C221" s="2" t="s">
        <v>45</v>
      </c>
      <c r="D221" s="11">
        <f>D219/D220</f>
        <v>0.8</v>
      </c>
      <c r="E221" s="11" t="e">
        <f t="shared" ref="E221:K221" si="14">E219/E220</f>
        <v>#DIV/0!</v>
      </c>
      <c r="F221" s="11">
        <f t="shared" si="14"/>
        <v>0.8</v>
      </c>
      <c r="G221" s="11" t="e">
        <f t="shared" si="14"/>
        <v>#DIV/0!</v>
      </c>
      <c r="H221" s="11">
        <f t="shared" si="14"/>
        <v>0.8</v>
      </c>
      <c r="I221" s="11" t="e">
        <f t="shared" si="14"/>
        <v>#DIV/0!</v>
      </c>
      <c r="J221" s="11">
        <f t="shared" si="14"/>
        <v>0.8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/>
      <c r="E255" s="65"/>
      <c r="F255" s="65"/>
      <c r="G255" s="65"/>
      <c r="H255" s="65"/>
      <c r="I255" s="65"/>
      <c r="J255" s="65"/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>
        <v>4</v>
      </c>
      <c r="E258" s="65"/>
      <c r="F258" s="65">
        <v>4</v>
      </c>
      <c r="G258" s="65"/>
      <c r="H258" s="65">
        <v>4</v>
      </c>
      <c r="I258" s="65"/>
      <c r="J258" s="65">
        <v>4</v>
      </c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/>
      <c r="E297" s="56"/>
      <c r="F297" s="56"/>
      <c r="G297" s="56"/>
      <c r="H297" s="56"/>
      <c r="I297" s="56"/>
      <c r="J297" s="56"/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>
        <v>4</v>
      </c>
      <c r="E300" s="56"/>
      <c r="F300" s="56">
        <v>4</v>
      </c>
      <c r="G300" s="56"/>
      <c r="H300" s="56">
        <v>4</v>
      </c>
      <c r="I300" s="56"/>
      <c r="J300" s="56">
        <v>4</v>
      </c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3" spans="1:16" ht="15">
      <c r="B303" s="71" t="s">
        <v>44</v>
      </c>
      <c r="C303" s="71"/>
      <c r="D303" s="1">
        <f>SUM(D269:D300)</f>
        <v>72</v>
      </c>
      <c r="E303" s="1">
        <f t="shared" ref="E303:K303" si="18">SUM(E269:E300)</f>
        <v>0</v>
      </c>
      <c r="F303" s="1">
        <f t="shared" si="18"/>
        <v>72</v>
      </c>
      <c r="G303" s="1">
        <f t="shared" si="18"/>
        <v>0</v>
      </c>
      <c r="H303" s="1">
        <f t="shared" si="18"/>
        <v>72</v>
      </c>
      <c r="I303" s="1">
        <f t="shared" si="18"/>
        <v>0</v>
      </c>
      <c r="J303" s="1">
        <f t="shared" si="18"/>
        <v>72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C304" s="64"/>
      <c r="D304" s="1">
        <f>COUNT(D269:D301)*5</f>
        <v>90</v>
      </c>
      <c r="E304" s="1">
        <f t="shared" ref="E304:K304" si="19">COUNT(E269:E301)*5</f>
        <v>0</v>
      </c>
      <c r="F304" s="1">
        <f t="shared" si="19"/>
        <v>90</v>
      </c>
      <c r="G304" s="1">
        <f t="shared" si="19"/>
        <v>0</v>
      </c>
      <c r="H304" s="1">
        <f t="shared" si="19"/>
        <v>90</v>
      </c>
      <c r="I304" s="1">
        <f t="shared" si="19"/>
        <v>0</v>
      </c>
      <c r="J304" s="1">
        <f t="shared" si="19"/>
        <v>90</v>
      </c>
      <c r="K304" s="1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C305" s="2" t="s">
        <v>45</v>
      </c>
      <c r="D305" s="11">
        <f>D303/D304</f>
        <v>0.8</v>
      </c>
      <c r="E305" s="11" t="e">
        <f t="shared" ref="E305:K305" si="20">E303/E304</f>
        <v>#DIV/0!</v>
      </c>
      <c r="F305" s="11">
        <f t="shared" si="20"/>
        <v>0.8</v>
      </c>
      <c r="G305" s="11" t="e">
        <f t="shared" si="20"/>
        <v>#DIV/0!</v>
      </c>
      <c r="H305" s="11">
        <f t="shared" si="20"/>
        <v>0.8</v>
      </c>
      <c r="I305" s="11" t="e">
        <f t="shared" si="20"/>
        <v>#DIV/0!</v>
      </c>
      <c r="J305" s="11">
        <f t="shared" si="20"/>
        <v>0.8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>
        <v>46236</v>
      </c>
      <c r="E308" s="46"/>
      <c r="F308" s="46">
        <v>46243</v>
      </c>
      <c r="G308" s="46"/>
      <c r="H308" s="46">
        <v>46250</v>
      </c>
      <c r="I308" s="46"/>
      <c r="J308" s="46">
        <v>46257</v>
      </c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7"/>
      <c r="F310" s="7" t="s">
        <v>90</v>
      </c>
      <c r="G310" s="7"/>
      <c r="H310" s="7" t="s">
        <v>90</v>
      </c>
      <c r="I310" s="7"/>
      <c r="J310" s="7" t="s">
        <v>90</v>
      </c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65"/>
      <c r="F311" s="65">
        <v>4</v>
      </c>
      <c r="G311" s="65"/>
      <c r="H311" s="65">
        <v>4</v>
      </c>
      <c r="I311" s="65"/>
      <c r="J311" s="65">
        <v>4</v>
      </c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65"/>
      <c r="F313" s="65">
        <v>4</v>
      </c>
      <c r="G313" s="65"/>
      <c r="H313" s="65">
        <v>4</v>
      </c>
      <c r="I313" s="65"/>
      <c r="J313" s="65">
        <v>4</v>
      </c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65"/>
      <c r="F316" s="65">
        <v>4</v>
      </c>
      <c r="G316" s="65"/>
      <c r="H316" s="65">
        <v>4</v>
      </c>
      <c r="I316" s="65"/>
      <c r="J316" s="65">
        <v>4</v>
      </c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65"/>
      <c r="F317" s="65">
        <v>4</v>
      </c>
      <c r="G317" s="65"/>
      <c r="H317" s="65">
        <v>4</v>
      </c>
      <c r="I317" s="65"/>
      <c r="J317" s="65">
        <v>4</v>
      </c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65"/>
      <c r="F318" s="65">
        <v>4</v>
      </c>
      <c r="G318" s="65"/>
      <c r="H318" s="65">
        <v>4</v>
      </c>
      <c r="I318" s="65"/>
      <c r="J318" s="65">
        <v>4</v>
      </c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65"/>
      <c r="F321" s="65">
        <v>4</v>
      </c>
      <c r="G321" s="65"/>
      <c r="H321" s="65">
        <v>4</v>
      </c>
      <c r="I321" s="65"/>
      <c r="J321" s="65">
        <v>4</v>
      </c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65"/>
      <c r="F322" s="65">
        <v>4</v>
      </c>
      <c r="G322" s="65"/>
      <c r="H322" s="65">
        <v>4</v>
      </c>
      <c r="I322" s="65"/>
      <c r="J322" s="65">
        <v>4</v>
      </c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65"/>
      <c r="F324" s="65">
        <v>4</v>
      </c>
      <c r="G324" s="65"/>
      <c r="H324" s="65">
        <v>4</v>
      </c>
      <c r="I324" s="65"/>
      <c r="J324" s="65">
        <v>4</v>
      </c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65"/>
      <c r="F327" s="65">
        <v>4</v>
      </c>
      <c r="G327" s="65"/>
      <c r="H327" s="65">
        <v>4</v>
      </c>
      <c r="I327" s="65"/>
      <c r="J327" s="65">
        <v>4</v>
      </c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65"/>
      <c r="F328" s="65">
        <v>4</v>
      </c>
      <c r="G328" s="65"/>
      <c r="H328" s="65">
        <v>4</v>
      </c>
      <c r="I328" s="65"/>
      <c r="J328" s="65">
        <v>4</v>
      </c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65"/>
      <c r="F329" s="65">
        <v>4</v>
      </c>
      <c r="G329" s="65"/>
      <c r="H329" s="65">
        <v>4</v>
      </c>
      <c r="I329" s="65"/>
      <c r="J329" s="65">
        <v>4</v>
      </c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65"/>
      <c r="F330" s="65">
        <v>4</v>
      </c>
      <c r="G330" s="65"/>
      <c r="H330" s="65">
        <v>4</v>
      </c>
      <c r="I330" s="65"/>
      <c r="J330" s="65">
        <v>4</v>
      </c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65"/>
      <c r="F331" s="65">
        <v>4</v>
      </c>
      <c r="G331" s="65"/>
      <c r="H331" s="65">
        <v>4</v>
      </c>
      <c r="I331" s="65"/>
      <c r="J331" s="65">
        <v>4</v>
      </c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65"/>
      <c r="F334" s="65">
        <v>4</v>
      </c>
      <c r="G334" s="65"/>
      <c r="H334" s="65">
        <v>4</v>
      </c>
      <c r="I334" s="65"/>
      <c r="J334" s="65">
        <v>4</v>
      </c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65"/>
      <c r="F335" s="65">
        <v>4</v>
      </c>
      <c r="G335" s="65"/>
      <c r="H335" s="65">
        <v>4</v>
      </c>
      <c r="I335" s="65"/>
      <c r="J335" s="65">
        <v>4</v>
      </c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65"/>
      <c r="F336" s="65">
        <v>4</v>
      </c>
      <c r="G336" s="65"/>
      <c r="H336" s="65">
        <v>4</v>
      </c>
      <c r="I336" s="65"/>
      <c r="J336" s="65">
        <v>4</v>
      </c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65"/>
      <c r="F338" s="65">
        <v>4</v>
      </c>
      <c r="G338" s="65"/>
      <c r="H338" s="65">
        <v>4</v>
      </c>
      <c r="I338" s="65"/>
      <c r="J338" s="65">
        <v>4</v>
      </c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/>
      <c r="E339" s="65"/>
      <c r="F339" s="65"/>
      <c r="G339" s="65"/>
      <c r="H339" s="65"/>
      <c r="I339" s="65"/>
      <c r="J339" s="65"/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>
        <v>4</v>
      </c>
      <c r="E342" s="65"/>
      <c r="F342" s="65">
        <v>4</v>
      </c>
      <c r="G342" s="65"/>
      <c r="H342" s="65">
        <v>4</v>
      </c>
      <c r="I342" s="65"/>
      <c r="J342" s="65">
        <v>4</v>
      </c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dataConsolidate/>
  <mergeCells count="588">
    <mergeCell ref="B177:C177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55:C155"/>
    <mergeCell ref="A156:A157"/>
    <mergeCell ref="B156:C156"/>
    <mergeCell ref="B157:C157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D139:E139"/>
    <mergeCell ref="F139:G139"/>
    <mergeCell ref="H139:I139"/>
    <mergeCell ref="J139:K139"/>
    <mergeCell ref="A140:A142"/>
    <mergeCell ref="B140:B142"/>
    <mergeCell ref="L140:P142"/>
    <mergeCell ref="A143:A144"/>
    <mergeCell ref="B143:C143"/>
    <mergeCell ref="L143:P175"/>
    <mergeCell ref="B144:C144"/>
    <mergeCell ref="A145:A146"/>
    <mergeCell ref="B145:C145"/>
    <mergeCell ref="B146:C146"/>
    <mergeCell ref="A147:A151"/>
    <mergeCell ref="B147:C147"/>
    <mergeCell ref="B148:C148"/>
    <mergeCell ref="B149:C149"/>
    <mergeCell ref="B150:C150"/>
    <mergeCell ref="B151:C151"/>
    <mergeCell ref="A152:A155"/>
    <mergeCell ref="B152:C152"/>
    <mergeCell ref="B153:C153"/>
    <mergeCell ref="B154:C154"/>
    <mergeCell ref="B111:C111"/>
    <mergeCell ref="B112:C112"/>
    <mergeCell ref="B113:C113"/>
    <mergeCell ref="A114:A115"/>
    <mergeCell ref="B114:C114"/>
    <mergeCell ref="B115:C115"/>
    <mergeCell ref="B135:C135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L98:P100"/>
    <mergeCell ref="A101:A102"/>
    <mergeCell ref="B101:C101"/>
    <mergeCell ref="L101:P133"/>
    <mergeCell ref="B102:C102"/>
    <mergeCell ref="A103:A104"/>
    <mergeCell ref="B103:C103"/>
    <mergeCell ref="B104:C104"/>
    <mergeCell ref="A105:A109"/>
    <mergeCell ref="B105:C105"/>
    <mergeCell ref="B106:C106"/>
    <mergeCell ref="B107:C107"/>
    <mergeCell ref="B108:C108"/>
    <mergeCell ref="B109:C109"/>
    <mergeCell ref="A110:A113"/>
    <mergeCell ref="B110:C11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J97:K97"/>
    <mergeCell ref="A98:A100"/>
    <mergeCell ref="B98:B100"/>
    <mergeCell ref="B93:C93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69:C69"/>
    <mergeCell ref="B70:C70"/>
    <mergeCell ref="B71:C71"/>
    <mergeCell ref="A72:A73"/>
    <mergeCell ref="B72:C72"/>
    <mergeCell ref="B73:C73"/>
    <mergeCell ref="D97:E97"/>
    <mergeCell ref="F97:G97"/>
    <mergeCell ref="H97:I97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A68:A71"/>
    <mergeCell ref="B68:C68"/>
    <mergeCell ref="A74:A80"/>
    <mergeCell ref="B74:C74"/>
    <mergeCell ref="B75:C75"/>
    <mergeCell ref="B76:C76"/>
    <mergeCell ref="B77:C77"/>
    <mergeCell ref="B78:C78"/>
    <mergeCell ref="B79:C79"/>
    <mergeCell ref="B80:C80"/>
    <mergeCell ref="H55:I55"/>
    <mergeCell ref="J55:K55"/>
    <mergeCell ref="A56:A58"/>
    <mergeCell ref="B56:B58"/>
    <mergeCell ref="D13:E13"/>
    <mergeCell ref="F13:G13"/>
    <mergeCell ref="H13:I13"/>
    <mergeCell ref="J13:K13"/>
    <mergeCell ref="A14:A16"/>
    <mergeCell ref="B14:B16"/>
    <mergeCell ref="B35:C35"/>
    <mergeCell ref="B36:C36"/>
    <mergeCell ref="B37:C37"/>
    <mergeCell ref="B51:C51"/>
    <mergeCell ref="B38:C38"/>
    <mergeCell ref="A39:A49"/>
    <mergeCell ref="B39:C39"/>
    <mergeCell ref="B40:C40"/>
    <mergeCell ref="B41:C41"/>
    <mergeCell ref="B42:C42"/>
    <mergeCell ref="B43:C43"/>
    <mergeCell ref="B44:C44"/>
    <mergeCell ref="B28:C28"/>
    <mergeCell ref="B29:C29"/>
    <mergeCell ref="D55:E55"/>
    <mergeCell ref="F55:G55"/>
    <mergeCell ref="B45:C45"/>
    <mergeCell ref="B46:C46"/>
    <mergeCell ref="B47:C47"/>
    <mergeCell ref="B48:C48"/>
    <mergeCell ref="B49:C49"/>
    <mergeCell ref="A32:A38"/>
    <mergeCell ref="B32:C32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A30:A31"/>
    <mergeCell ref="B30:C30"/>
    <mergeCell ref="B31:C31"/>
    <mergeCell ref="B33:C33"/>
    <mergeCell ref="B34:C34"/>
    <mergeCell ref="D181:E181"/>
    <mergeCell ref="F181:G181"/>
    <mergeCell ref="H181:I181"/>
    <mergeCell ref="J181:K181"/>
    <mergeCell ref="A182:A184"/>
    <mergeCell ref="B182:B184"/>
    <mergeCell ref="L182:P184"/>
    <mergeCell ref="A185:A186"/>
    <mergeCell ref="B185:C185"/>
    <mergeCell ref="L185:P217"/>
    <mergeCell ref="B186:C186"/>
    <mergeCell ref="A187:A188"/>
    <mergeCell ref="B187:C187"/>
    <mergeCell ref="B188:C188"/>
    <mergeCell ref="A189:A193"/>
    <mergeCell ref="B189:C189"/>
    <mergeCell ref="B190:C190"/>
    <mergeCell ref="B191:C191"/>
    <mergeCell ref="B192:C192"/>
    <mergeCell ref="B193:C193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B219:C219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D223:E223"/>
    <mergeCell ref="F223:G223"/>
    <mergeCell ref="H223:I223"/>
    <mergeCell ref="J223:K223"/>
    <mergeCell ref="A224:A226"/>
    <mergeCell ref="B224:B226"/>
    <mergeCell ref="L224:P226"/>
    <mergeCell ref="A227:A228"/>
    <mergeCell ref="B227:C227"/>
    <mergeCell ref="L227:P259"/>
    <mergeCell ref="B228:C228"/>
    <mergeCell ref="A229:A230"/>
    <mergeCell ref="B229:C229"/>
    <mergeCell ref="B230:C230"/>
    <mergeCell ref="A231:A235"/>
    <mergeCell ref="B231:C231"/>
    <mergeCell ref="B232:C232"/>
    <mergeCell ref="B233:C233"/>
    <mergeCell ref="B234:C234"/>
    <mergeCell ref="B235:C235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B261:C261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D265:E265"/>
    <mergeCell ref="F265:G265"/>
    <mergeCell ref="H265:I265"/>
    <mergeCell ref="J265:K265"/>
    <mergeCell ref="A266:A268"/>
    <mergeCell ref="B266:B268"/>
    <mergeCell ref="L266:P268"/>
    <mergeCell ref="A269:A270"/>
    <mergeCell ref="B269:C269"/>
    <mergeCell ref="L269:P301"/>
    <mergeCell ref="B270:C270"/>
    <mergeCell ref="A271:A272"/>
    <mergeCell ref="B271:C271"/>
    <mergeCell ref="B272:C272"/>
    <mergeCell ref="A273:A277"/>
    <mergeCell ref="B273:C273"/>
    <mergeCell ref="B274:C274"/>
    <mergeCell ref="B275:C275"/>
    <mergeCell ref="B276:C276"/>
    <mergeCell ref="B277:C277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B303:C303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D307:E307"/>
    <mergeCell ref="F307:G307"/>
    <mergeCell ref="H307:I307"/>
    <mergeCell ref="J307:K307"/>
    <mergeCell ref="A308:A310"/>
    <mergeCell ref="B308:B310"/>
    <mergeCell ref="L308:P310"/>
    <mergeCell ref="A311:A312"/>
    <mergeCell ref="B311:C311"/>
    <mergeCell ref="L311:P343"/>
    <mergeCell ref="B312:C312"/>
    <mergeCell ref="A313:A314"/>
    <mergeCell ref="B313:C313"/>
    <mergeCell ref="B314:C314"/>
    <mergeCell ref="A315:A319"/>
    <mergeCell ref="B315:C315"/>
    <mergeCell ref="B316:C316"/>
    <mergeCell ref="B317:C317"/>
    <mergeCell ref="B318:C318"/>
    <mergeCell ref="B319:C319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5:C345"/>
    <mergeCell ref="D349:E349"/>
    <mergeCell ref="F349:G349"/>
    <mergeCell ref="H349:I349"/>
    <mergeCell ref="J349:K349"/>
    <mergeCell ref="A350:A352"/>
    <mergeCell ref="B350:B352"/>
    <mergeCell ref="L350:P352"/>
    <mergeCell ref="A353:A354"/>
    <mergeCell ref="B353:C353"/>
    <mergeCell ref="L353:P385"/>
    <mergeCell ref="B354:C354"/>
    <mergeCell ref="A355:A356"/>
    <mergeCell ref="B355:C355"/>
    <mergeCell ref="B356:C356"/>
    <mergeCell ref="A357:A361"/>
    <mergeCell ref="B357:C357"/>
    <mergeCell ref="B358:C358"/>
    <mergeCell ref="B359:C359"/>
    <mergeCell ref="B360:C360"/>
    <mergeCell ref="B361:C361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7:C387"/>
    <mergeCell ref="D391:E391"/>
    <mergeCell ref="F391:G391"/>
    <mergeCell ref="H391:I391"/>
    <mergeCell ref="J391:K391"/>
    <mergeCell ref="A392:A394"/>
    <mergeCell ref="B392:B394"/>
    <mergeCell ref="L392:P394"/>
    <mergeCell ref="A395:A396"/>
    <mergeCell ref="B395:C395"/>
    <mergeCell ref="L395:P427"/>
    <mergeCell ref="B396:C396"/>
    <mergeCell ref="A397:A398"/>
    <mergeCell ref="B397:C397"/>
    <mergeCell ref="B398:C398"/>
    <mergeCell ref="A399:A403"/>
    <mergeCell ref="B399:C399"/>
    <mergeCell ref="B400:C400"/>
    <mergeCell ref="B401:C401"/>
    <mergeCell ref="B402:C402"/>
    <mergeCell ref="B403:C403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B429:C429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D433:E433"/>
    <mergeCell ref="F433:G433"/>
    <mergeCell ref="H433:I433"/>
    <mergeCell ref="J433:K433"/>
    <mergeCell ref="A434:A436"/>
    <mergeCell ref="B434:B436"/>
    <mergeCell ref="L434:P436"/>
    <mergeCell ref="A437:A438"/>
    <mergeCell ref="B437:C437"/>
    <mergeCell ref="L437:P469"/>
    <mergeCell ref="B438:C438"/>
    <mergeCell ref="A439:A440"/>
    <mergeCell ref="B439:C439"/>
    <mergeCell ref="B440:C440"/>
    <mergeCell ref="A441:A445"/>
    <mergeCell ref="B441:C441"/>
    <mergeCell ref="B442:C442"/>
    <mergeCell ref="B443:C443"/>
    <mergeCell ref="B444:C444"/>
    <mergeCell ref="B445:C445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1:C471"/>
    <mergeCell ref="D475:E475"/>
    <mergeCell ref="F475:G475"/>
    <mergeCell ref="H475:I475"/>
    <mergeCell ref="J475:K475"/>
    <mergeCell ref="A476:A478"/>
    <mergeCell ref="B476:B478"/>
    <mergeCell ref="L476:P478"/>
    <mergeCell ref="A479:A480"/>
    <mergeCell ref="B479:C479"/>
    <mergeCell ref="L479:P511"/>
    <mergeCell ref="B480:C480"/>
    <mergeCell ref="A481:A482"/>
    <mergeCell ref="B481:C481"/>
    <mergeCell ref="B482:C482"/>
    <mergeCell ref="A483:A487"/>
    <mergeCell ref="B483:C483"/>
    <mergeCell ref="B484:C484"/>
    <mergeCell ref="B485:C485"/>
    <mergeCell ref="B486:C486"/>
    <mergeCell ref="B487:C487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</mergeCells>
  <hyperlinks>
    <hyperlink ref="B2" location="'ALL STAFF'!A1" display="&lt;BACK" xr:uid="{DE6024DA-A803-4D6B-8A85-550573C9234A}"/>
    <hyperlink ref="C13" location="'ALL STAFF'!A1" display="&lt;BACK" xr:uid="{92CC22A2-C470-4E5B-9889-F060028DB927}"/>
    <hyperlink ref="C55" location="'ALL STAFF'!A1" display="&lt;BACK" xr:uid="{0345F976-9430-4903-ABAE-86F0C22B4932}"/>
    <hyperlink ref="C97" location="'ALL STAFF'!A1" display="&lt;BACK" xr:uid="{A772C4C8-4077-4FF3-8FB1-33DC795064FD}"/>
    <hyperlink ref="C139" location="'ALL STAFF'!A1" display="&lt;BACK" xr:uid="{8A45C11F-0621-46C0-8949-62D335ED7251}"/>
    <hyperlink ref="C181" location="'ALL STAFF'!A1" display="&lt;BACK" xr:uid="{8B5C0DC9-69EB-4427-A7E6-1A835C44DB15}"/>
    <hyperlink ref="C223" location="'ALL STAFF'!A1" display="&lt;BACK" xr:uid="{29B2B10E-1ABA-4DD1-9FDB-F38C75148D1C}"/>
    <hyperlink ref="C265" location="'ALL STAFF'!A1" display="&lt;BACK" xr:uid="{CEC75B0E-64D7-4C59-8760-20D74870E2F8}"/>
    <hyperlink ref="C307" location="'ALL STAFF'!A1" display="&lt;BACK" xr:uid="{CAEA8B2D-960E-4C4E-84F7-CCE11A4A62A1}"/>
    <hyperlink ref="C349" location="'ALL STAFF'!A1" display="&lt;BACK" xr:uid="{FAF69F3B-7EA1-4EC4-9327-985AB06F5175}"/>
    <hyperlink ref="C391" location="'ALL STAFF'!A1" display="&lt;BACK" xr:uid="{A5FD63A9-F35A-4147-BE2F-752D71AFE554}"/>
    <hyperlink ref="C433" location="'ALL STAFF'!A1" display="&lt;BACK" xr:uid="{D03134AA-BB22-42A1-BBC3-0B779C6D7D25}"/>
    <hyperlink ref="C475" location="'ALL STAFF'!A1" display="&lt;BACK" xr:uid="{0C0817E7-17FC-4F21-960C-624ADAA669E1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51AF61-22DA-4E99-BD83-886C67E07D94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ED7F-A2EE-47C1-AD7A-A017ED3CCCD4}">
  <sheetPr codeName="Sheet4"/>
  <dimension ref="A1:T515"/>
  <sheetViews>
    <sheetView topLeftCell="A305" zoomScale="80" zoomScaleNormal="80" workbookViewId="0">
      <selection activeCell="H330" sqref="H330"/>
    </sheetView>
  </sheetViews>
  <sheetFormatPr defaultRowHeight="14.25"/>
  <cols>
    <col min="1" max="1" width="5" customWidth="1"/>
    <col min="2" max="2" width="52.625" style="43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44" t="s">
        <v>6</v>
      </c>
      <c r="R2" s="20">
        <v>46023</v>
      </c>
      <c r="S2" s="21">
        <f>M52</f>
        <v>0.81111111111111112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>
        <f>M178</f>
        <v>0.8</v>
      </c>
      <c r="T5" s="21" t="e">
        <f>N178</f>
        <v>#DIV/0!</v>
      </c>
    </row>
    <row r="6" spans="1:20" ht="15">
      <c r="A6" s="27">
        <v>3</v>
      </c>
      <c r="R6" s="20">
        <v>46143</v>
      </c>
      <c r="S6" s="21">
        <f>M220</f>
        <v>0.8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29">
        <v>46037</v>
      </c>
      <c r="E14" s="29"/>
      <c r="F14" s="29">
        <v>46046</v>
      </c>
      <c r="G14" s="29"/>
      <c r="H14" s="29">
        <v>46053</v>
      </c>
      <c r="I14" s="29"/>
      <c r="J14" s="29">
        <v>46060</v>
      </c>
      <c r="K14" s="29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6" t="s">
        <v>78</v>
      </c>
      <c r="E16" s="6"/>
      <c r="F16" s="6" t="s">
        <v>78</v>
      </c>
      <c r="G16" s="6"/>
      <c r="H16" s="6" t="s">
        <v>78</v>
      </c>
      <c r="I16" s="6"/>
      <c r="J16" s="6" t="s">
        <v>78</v>
      </c>
      <c r="K16" s="6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>
        <v>5</v>
      </c>
      <c r="E17" s="67"/>
      <c r="F17" s="67">
        <v>5</v>
      </c>
      <c r="G17" s="67"/>
      <c r="H17" s="67">
        <v>5</v>
      </c>
      <c r="I17" s="67"/>
      <c r="J17" s="67">
        <v>5</v>
      </c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>
        <v>4</v>
      </c>
      <c r="E19" s="67"/>
      <c r="F19" s="67">
        <v>4</v>
      </c>
      <c r="G19" s="67"/>
      <c r="H19" s="67">
        <v>4</v>
      </c>
      <c r="I19" s="67"/>
      <c r="J19" s="67">
        <v>4</v>
      </c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>
        <v>4</v>
      </c>
      <c r="E22" s="67"/>
      <c r="F22" s="67">
        <v>4</v>
      </c>
      <c r="G22" s="67"/>
      <c r="H22" s="67">
        <v>4</v>
      </c>
      <c r="I22" s="67"/>
      <c r="J22" s="67">
        <v>4</v>
      </c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>
        <v>4</v>
      </c>
      <c r="E23" s="67"/>
      <c r="F23" s="67">
        <v>4</v>
      </c>
      <c r="G23" s="67"/>
      <c r="H23" s="67">
        <v>4</v>
      </c>
      <c r="I23" s="67"/>
      <c r="J23" s="67">
        <v>4</v>
      </c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>
        <v>4</v>
      </c>
      <c r="E24" s="67"/>
      <c r="F24" s="67">
        <v>4</v>
      </c>
      <c r="G24" s="67"/>
      <c r="H24" s="67">
        <v>4</v>
      </c>
      <c r="I24" s="67"/>
      <c r="J24" s="67">
        <v>4</v>
      </c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>
        <v>4</v>
      </c>
      <c r="E27" s="67"/>
      <c r="F27" s="67">
        <v>4</v>
      </c>
      <c r="G27" s="67"/>
      <c r="H27" s="67">
        <v>4</v>
      </c>
      <c r="I27" s="67"/>
      <c r="J27" s="67">
        <v>4</v>
      </c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>
        <v>4</v>
      </c>
      <c r="E28" s="67"/>
      <c r="F28" s="67">
        <v>4</v>
      </c>
      <c r="G28" s="67"/>
      <c r="H28" s="67">
        <v>4</v>
      </c>
      <c r="I28" s="67"/>
      <c r="J28" s="67">
        <v>4</v>
      </c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>
        <v>4</v>
      </c>
      <c r="E30" s="67"/>
      <c r="F30" s="67">
        <v>4</v>
      </c>
      <c r="G30" s="67"/>
      <c r="H30" s="67">
        <v>4</v>
      </c>
      <c r="I30" s="67"/>
      <c r="J30" s="67">
        <v>4</v>
      </c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>
        <v>4</v>
      </c>
      <c r="E33" s="67"/>
      <c r="F33" s="67">
        <v>4</v>
      </c>
      <c r="G33" s="67"/>
      <c r="H33" s="67">
        <v>4</v>
      </c>
      <c r="I33" s="67"/>
      <c r="J33" s="67">
        <v>4</v>
      </c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>
        <v>4</v>
      </c>
      <c r="E34" s="67"/>
      <c r="F34" s="67">
        <v>4</v>
      </c>
      <c r="G34" s="67"/>
      <c r="H34" s="67">
        <v>4</v>
      </c>
      <c r="I34" s="67"/>
      <c r="J34" s="67">
        <v>4</v>
      </c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>
        <v>4</v>
      </c>
      <c r="E35" s="67"/>
      <c r="F35" s="67">
        <v>4</v>
      </c>
      <c r="G35" s="67"/>
      <c r="H35" s="67">
        <v>4</v>
      </c>
      <c r="I35" s="67"/>
      <c r="J35" s="67">
        <v>4</v>
      </c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>
        <v>4</v>
      </c>
      <c r="E36" s="67"/>
      <c r="F36" s="67">
        <v>4</v>
      </c>
      <c r="G36" s="67"/>
      <c r="H36" s="67">
        <v>4</v>
      </c>
      <c r="I36" s="67"/>
      <c r="J36" s="67">
        <v>4</v>
      </c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>
        <v>4</v>
      </c>
      <c r="E37" s="67"/>
      <c r="F37" s="67">
        <v>4</v>
      </c>
      <c r="G37" s="67"/>
      <c r="H37" s="67">
        <v>4</v>
      </c>
      <c r="I37" s="67"/>
      <c r="J37" s="67">
        <v>4</v>
      </c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>
        <v>4</v>
      </c>
      <c r="E40" s="67"/>
      <c r="F40" s="67">
        <v>4</v>
      </c>
      <c r="G40" s="67"/>
      <c r="H40" s="67">
        <v>4</v>
      </c>
      <c r="I40" s="67"/>
      <c r="J40" s="67">
        <v>4</v>
      </c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>
        <v>4</v>
      </c>
      <c r="E41" s="67"/>
      <c r="F41" s="67">
        <v>4</v>
      </c>
      <c r="G41" s="67"/>
      <c r="H41" s="67">
        <v>4</v>
      </c>
      <c r="I41" s="67"/>
      <c r="J41" s="67">
        <v>4</v>
      </c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>
        <v>4</v>
      </c>
      <c r="E42" s="67"/>
      <c r="F42" s="67">
        <v>4</v>
      </c>
      <c r="G42" s="67"/>
      <c r="H42" s="67">
        <v>4</v>
      </c>
      <c r="I42" s="67"/>
      <c r="J42" s="67">
        <v>4</v>
      </c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>
        <v>4</v>
      </c>
      <c r="E44" s="67"/>
      <c r="F44" s="67">
        <v>4</v>
      </c>
      <c r="G44" s="67"/>
      <c r="H44" s="67">
        <v>4</v>
      </c>
      <c r="I44" s="67"/>
      <c r="J44" s="67">
        <v>4</v>
      </c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/>
      <c r="E45" s="67"/>
      <c r="F45" s="67"/>
      <c r="G45" s="67"/>
      <c r="H45" s="67"/>
      <c r="I45" s="67"/>
      <c r="J45" s="67"/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>
        <v>4</v>
      </c>
      <c r="E48" s="67"/>
      <c r="F48" s="67">
        <v>4</v>
      </c>
      <c r="G48" s="67"/>
      <c r="H48" s="67">
        <v>4</v>
      </c>
      <c r="I48" s="67"/>
      <c r="J48" s="67">
        <v>4</v>
      </c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0" spans="1:16">
      <c r="B50"/>
    </row>
    <row r="51" spans="1:16" ht="15">
      <c r="B51" s="71" t="s">
        <v>44</v>
      </c>
      <c r="C51" s="71"/>
      <c r="D51" s="1">
        <f>SUM(D17:D48)</f>
        <v>73</v>
      </c>
      <c r="E51" s="1">
        <f t="shared" ref="E51:K51" si="0">SUM(E17:E48)</f>
        <v>0</v>
      </c>
      <c r="F51" s="1">
        <f t="shared" si="0"/>
        <v>73</v>
      </c>
      <c r="G51" s="1">
        <f t="shared" si="0"/>
        <v>0</v>
      </c>
      <c r="H51" s="1">
        <f t="shared" si="0"/>
        <v>73</v>
      </c>
      <c r="I51" s="1">
        <f t="shared" si="0"/>
        <v>0</v>
      </c>
      <c r="J51" s="1">
        <f t="shared" si="0"/>
        <v>73</v>
      </c>
      <c r="K51" s="1">
        <f t="shared" si="0"/>
        <v>0</v>
      </c>
      <c r="M51" s="17" t="s">
        <v>2</v>
      </c>
      <c r="N51" s="17" t="s">
        <v>3</v>
      </c>
    </row>
    <row r="52" spans="1:16" ht="15">
      <c r="B52"/>
      <c r="C52" s="64"/>
      <c r="D52" s="1">
        <f>COUNT(D17:D49)*5</f>
        <v>90</v>
      </c>
      <c r="E52" s="1">
        <f t="shared" ref="E52:K52" si="1">COUNT(E17:E49)*5</f>
        <v>0</v>
      </c>
      <c r="F52" s="1">
        <f t="shared" si="1"/>
        <v>90</v>
      </c>
      <c r="G52" s="1">
        <f t="shared" si="1"/>
        <v>0</v>
      </c>
      <c r="H52" s="1">
        <f t="shared" si="1"/>
        <v>90</v>
      </c>
      <c r="I52" s="1">
        <f t="shared" si="1"/>
        <v>0</v>
      </c>
      <c r="J52" s="1">
        <f t="shared" si="1"/>
        <v>90</v>
      </c>
      <c r="K52" s="1">
        <f t="shared" si="1"/>
        <v>0</v>
      </c>
      <c r="M52" s="18">
        <f>(D53+F53+H53+J53)/4</f>
        <v>0.81111111111111112</v>
      </c>
      <c r="N52" s="18" t="e">
        <f>(E53+G53+I53+K53)/4</f>
        <v>#DIV/0!</v>
      </c>
    </row>
    <row r="53" spans="1:16" ht="15">
      <c r="B53"/>
      <c r="C53" s="2" t="s">
        <v>45</v>
      </c>
      <c r="D53" s="11">
        <f>D51/D52</f>
        <v>0.81111111111111112</v>
      </c>
      <c r="E53" s="11" t="e">
        <f t="shared" ref="E53:K53" si="2">E51/E52</f>
        <v>#DIV/0!</v>
      </c>
      <c r="F53" s="11">
        <f t="shared" si="2"/>
        <v>0.81111111111111112</v>
      </c>
      <c r="G53" s="11" t="e">
        <f t="shared" si="2"/>
        <v>#DIV/0!</v>
      </c>
      <c r="H53" s="11">
        <f t="shared" si="2"/>
        <v>0.81111111111111112</v>
      </c>
      <c r="I53" s="11" t="e">
        <f t="shared" si="2"/>
        <v>#DIV/0!</v>
      </c>
      <c r="J53" s="11">
        <f t="shared" si="2"/>
        <v>0.81111111111111112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>
        <v>46067</v>
      </c>
      <c r="E56" s="29"/>
      <c r="F56" s="29">
        <v>46074</v>
      </c>
      <c r="G56" s="29"/>
      <c r="H56" s="29">
        <v>46081</v>
      </c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 t="s">
        <v>78</v>
      </c>
      <c r="E58" s="6"/>
      <c r="F58" s="6" t="s">
        <v>78</v>
      </c>
      <c r="G58" s="6"/>
      <c r="H58" s="6" t="s">
        <v>78</v>
      </c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>
        <v>4</v>
      </c>
      <c r="E59" s="8"/>
      <c r="F59" s="8">
        <v>4</v>
      </c>
      <c r="G59" s="8"/>
      <c r="H59" s="8">
        <v>4</v>
      </c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>
        <v>4</v>
      </c>
      <c r="E61" s="8"/>
      <c r="F61" s="8">
        <v>4</v>
      </c>
      <c r="G61" s="8"/>
      <c r="H61" s="8">
        <v>4</v>
      </c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>
        <v>4</v>
      </c>
      <c r="E64" s="8"/>
      <c r="F64" s="8">
        <v>4</v>
      </c>
      <c r="G64" s="8"/>
      <c r="H64" s="8">
        <v>4</v>
      </c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>
        <v>4</v>
      </c>
      <c r="E65" s="8"/>
      <c r="F65" s="8">
        <v>4</v>
      </c>
      <c r="G65" s="8"/>
      <c r="H65" s="8">
        <v>4</v>
      </c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>
        <v>4</v>
      </c>
      <c r="E66" s="8"/>
      <c r="F66" s="8">
        <v>4</v>
      </c>
      <c r="G66" s="8"/>
      <c r="H66" s="8">
        <v>4</v>
      </c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>
        <v>4</v>
      </c>
      <c r="E69" s="8"/>
      <c r="F69" s="8">
        <v>4</v>
      </c>
      <c r="G69" s="8"/>
      <c r="H69" s="8">
        <v>4</v>
      </c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>
        <v>4</v>
      </c>
      <c r="E70" s="8"/>
      <c r="F70" s="8">
        <v>4</v>
      </c>
      <c r="G70" s="8"/>
      <c r="H70" s="8">
        <v>4</v>
      </c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>
        <v>4</v>
      </c>
      <c r="E72" s="8"/>
      <c r="F72" s="8">
        <v>4</v>
      </c>
      <c r="G72" s="8"/>
      <c r="H72" s="8">
        <v>4</v>
      </c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>
        <v>4</v>
      </c>
      <c r="E75" s="8"/>
      <c r="F75" s="8">
        <v>4</v>
      </c>
      <c r="G75" s="8"/>
      <c r="H75" s="8">
        <v>4</v>
      </c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>
        <v>4</v>
      </c>
      <c r="E76" s="8"/>
      <c r="F76" s="8">
        <v>4</v>
      </c>
      <c r="G76" s="8"/>
      <c r="H76" s="8">
        <v>4</v>
      </c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>
        <v>4</v>
      </c>
      <c r="E77" s="8"/>
      <c r="F77" s="8">
        <v>4</v>
      </c>
      <c r="G77" s="8"/>
      <c r="H77" s="8">
        <v>4</v>
      </c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>
        <v>4</v>
      </c>
      <c r="E78" s="8"/>
      <c r="F78" s="8">
        <v>4</v>
      </c>
      <c r="G78" s="8"/>
      <c r="H78" s="8">
        <v>4</v>
      </c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>
        <v>4</v>
      </c>
      <c r="E79" s="8"/>
      <c r="F79" s="8">
        <v>4</v>
      </c>
      <c r="G79" s="8"/>
      <c r="H79" s="8">
        <v>4</v>
      </c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>
        <v>4</v>
      </c>
      <c r="E82" s="8"/>
      <c r="F82" s="8">
        <v>4</v>
      </c>
      <c r="G82" s="8"/>
      <c r="H82" s="8">
        <v>4</v>
      </c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>
        <v>4</v>
      </c>
      <c r="E83" s="8"/>
      <c r="F83" s="8">
        <v>4</v>
      </c>
      <c r="G83" s="8"/>
      <c r="H83" s="8">
        <v>4</v>
      </c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>
        <v>4</v>
      </c>
      <c r="E84" s="8"/>
      <c r="F84" s="8">
        <v>4</v>
      </c>
      <c r="G84" s="8"/>
      <c r="H84" s="8">
        <v>4</v>
      </c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>
        <v>4</v>
      </c>
      <c r="E86" s="8"/>
      <c r="F86" s="8">
        <v>4</v>
      </c>
      <c r="G86" s="8"/>
      <c r="H86" s="8">
        <v>4</v>
      </c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>
        <v>4</v>
      </c>
      <c r="E90" s="8"/>
      <c r="F90" s="8">
        <v>4</v>
      </c>
      <c r="G90" s="8"/>
      <c r="H90" s="8">
        <v>4</v>
      </c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2" spans="1:16">
      <c r="B92"/>
    </row>
    <row r="93" spans="1:16" ht="15">
      <c r="B93" s="71" t="s">
        <v>44</v>
      </c>
      <c r="C93" s="71"/>
      <c r="D93" s="1">
        <f>SUM(D59:D90)</f>
        <v>72</v>
      </c>
      <c r="E93" s="1">
        <f t="shared" ref="E93:K93" si="3">SUM(E59:E90)</f>
        <v>0</v>
      </c>
      <c r="F93" s="1">
        <f t="shared" si="3"/>
        <v>72</v>
      </c>
      <c r="G93" s="1">
        <f t="shared" si="3"/>
        <v>0</v>
      </c>
      <c r="H93" s="1">
        <f t="shared" si="3"/>
        <v>72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B94"/>
      <c r="C94" s="64"/>
      <c r="D94" s="1">
        <f>COUNT(D59:D91)*5</f>
        <v>90</v>
      </c>
      <c r="E94" s="1">
        <f t="shared" ref="E94:K94" si="4">COUNT(E59:E91)*5</f>
        <v>0</v>
      </c>
      <c r="F94" s="1">
        <f t="shared" si="4"/>
        <v>90</v>
      </c>
      <c r="G94" s="1">
        <f t="shared" si="4"/>
        <v>0</v>
      </c>
      <c r="H94" s="1">
        <f t="shared" si="4"/>
        <v>90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B95"/>
      <c r="C95" s="2" t="s">
        <v>45</v>
      </c>
      <c r="D95" s="11">
        <f>D93/D94</f>
        <v>0.8</v>
      </c>
      <c r="E95" s="11" t="e">
        <f t="shared" ref="E95:K95" si="5">E93/E94</f>
        <v>#DIV/0!</v>
      </c>
      <c r="F95" s="11">
        <f t="shared" si="5"/>
        <v>0.8</v>
      </c>
      <c r="G95" s="11" t="e">
        <f t="shared" si="5"/>
        <v>#DIV/0!</v>
      </c>
      <c r="H95" s="11">
        <f t="shared" si="5"/>
        <v>0.8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>
        <v>46082</v>
      </c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 t="s">
        <v>78</v>
      </c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>
        <v>4</v>
      </c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>
        <v>4</v>
      </c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>
        <v>4</v>
      </c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>
        <v>4</v>
      </c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>
        <v>4</v>
      </c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>
        <v>4</v>
      </c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>
        <v>4</v>
      </c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>
        <v>4</v>
      </c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>
        <v>4</v>
      </c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>
        <v>4</v>
      </c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>
        <v>4</v>
      </c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>
        <v>4</v>
      </c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>
        <v>4</v>
      </c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>
        <v>4</v>
      </c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>
        <v>4</v>
      </c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>
        <v>4</v>
      </c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>
        <v>4</v>
      </c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>
        <v>4</v>
      </c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>
        <v>4</v>
      </c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4" spans="1:16">
      <c r="B134"/>
    </row>
    <row r="135" spans="1:16" ht="15">
      <c r="B135" s="71" t="s">
        <v>44</v>
      </c>
      <c r="C135" s="71"/>
      <c r="D135" s="1">
        <f>SUM(D101:D132)</f>
        <v>76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B136"/>
      <c r="C136" s="64"/>
      <c r="D136" s="1">
        <f>COUNT(D101:D133)*5</f>
        <v>95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B137"/>
      <c r="C137" s="2" t="s">
        <v>45</v>
      </c>
      <c r="D137" s="11">
        <f>D135/D136</f>
        <v>0.8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>
        <v>46117</v>
      </c>
      <c r="E140" s="29"/>
      <c r="F140" s="42">
        <v>46124</v>
      </c>
      <c r="G140" s="42"/>
      <c r="H140" s="42">
        <v>46131</v>
      </c>
      <c r="I140" s="42"/>
      <c r="J140" s="42">
        <v>46138</v>
      </c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 t="s">
        <v>90</v>
      </c>
      <c r="E142" s="6"/>
      <c r="F142" s="38" t="s">
        <v>90</v>
      </c>
      <c r="G142" s="38"/>
      <c r="H142" s="38" t="s">
        <v>90</v>
      </c>
      <c r="I142" s="38"/>
      <c r="J142" s="38" t="s">
        <v>90</v>
      </c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>
        <v>4</v>
      </c>
      <c r="E143" s="8"/>
      <c r="F143" s="67">
        <v>4</v>
      </c>
      <c r="G143" s="67"/>
      <c r="H143" s="67">
        <v>4</v>
      </c>
      <c r="I143" s="67"/>
      <c r="J143" s="67">
        <v>4</v>
      </c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>
        <v>4</v>
      </c>
      <c r="E145" s="8"/>
      <c r="F145" s="67">
        <v>4</v>
      </c>
      <c r="G145" s="67"/>
      <c r="H145" s="67">
        <v>4</v>
      </c>
      <c r="I145" s="67"/>
      <c r="J145" s="67">
        <v>4</v>
      </c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>
        <v>4</v>
      </c>
      <c r="E148" s="8"/>
      <c r="F148" s="67">
        <v>4</v>
      </c>
      <c r="G148" s="67"/>
      <c r="H148" s="67">
        <v>4</v>
      </c>
      <c r="I148" s="67"/>
      <c r="J148" s="67">
        <v>4</v>
      </c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>
        <v>4</v>
      </c>
      <c r="E149" s="8"/>
      <c r="F149" s="67">
        <v>4</v>
      </c>
      <c r="G149" s="67"/>
      <c r="H149" s="67">
        <v>4</v>
      </c>
      <c r="I149" s="67"/>
      <c r="J149" s="67">
        <v>4</v>
      </c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>
        <v>4</v>
      </c>
      <c r="E150" s="8"/>
      <c r="F150" s="67">
        <v>4</v>
      </c>
      <c r="G150" s="67"/>
      <c r="H150" s="67">
        <v>4</v>
      </c>
      <c r="I150" s="67"/>
      <c r="J150" s="67">
        <v>4</v>
      </c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>
        <v>4</v>
      </c>
      <c r="E153" s="8"/>
      <c r="F153" s="67">
        <v>4</v>
      </c>
      <c r="G153" s="67"/>
      <c r="H153" s="67">
        <v>4</v>
      </c>
      <c r="I153" s="67"/>
      <c r="J153" s="67">
        <v>4</v>
      </c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>
        <v>4</v>
      </c>
      <c r="E154" s="8"/>
      <c r="F154" s="67">
        <v>4</v>
      </c>
      <c r="G154" s="67"/>
      <c r="H154" s="67">
        <v>4</v>
      </c>
      <c r="I154" s="67"/>
      <c r="J154" s="67">
        <v>4</v>
      </c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>
        <v>4</v>
      </c>
      <c r="E156" s="8"/>
      <c r="F156" s="67">
        <v>4</v>
      </c>
      <c r="G156" s="67"/>
      <c r="H156" s="67">
        <v>4</v>
      </c>
      <c r="I156" s="67"/>
      <c r="J156" s="67">
        <v>4</v>
      </c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>
        <v>4</v>
      </c>
      <c r="E159" s="8"/>
      <c r="F159" s="67">
        <v>4</v>
      </c>
      <c r="G159" s="67"/>
      <c r="H159" s="67">
        <v>4</v>
      </c>
      <c r="I159" s="67"/>
      <c r="J159" s="67">
        <v>4</v>
      </c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>
        <v>4</v>
      </c>
      <c r="E160" s="8"/>
      <c r="F160" s="67">
        <v>4</v>
      </c>
      <c r="G160" s="67"/>
      <c r="H160" s="67">
        <v>4</v>
      </c>
      <c r="I160" s="67"/>
      <c r="J160" s="67">
        <v>4</v>
      </c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>
        <v>4</v>
      </c>
      <c r="E161" s="8"/>
      <c r="F161" s="67">
        <v>4</v>
      </c>
      <c r="G161" s="67"/>
      <c r="H161" s="67">
        <v>4</v>
      </c>
      <c r="I161" s="67"/>
      <c r="J161" s="67">
        <v>4</v>
      </c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>
        <v>4</v>
      </c>
      <c r="E162" s="8"/>
      <c r="F162" s="67">
        <v>4</v>
      </c>
      <c r="G162" s="67"/>
      <c r="H162" s="67">
        <v>4</v>
      </c>
      <c r="I162" s="67"/>
      <c r="J162" s="67">
        <v>4</v>
      </c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>
        <v>4</v>
      </c>
      <c r="E163" s="8"/>
      <c r="F163" s="67">
        <v>4</v>
      </c>
      <c r="G163" s="67"/>
      <c r="H163" s="67">
        <v>4</v>
      </c>
      <c r="I163" s="67"/>
      <c r="J163" s="67">
        <v>4</v>
      </c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>
        <v>4</v>
      </c>
      <c r="E166" s="8"/>
      <c r="F166" s="67">
        <v>4</v>
      </c>
      <c r="G166" s="67"/>
      <c r="H166" s="67">
        <v>4</v>
      </c>
      <c r="I166" s="67"/>
      <c r="J166" s="67">
        <v>4</v>
      </c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>
        <v>4</v>
      </c>
      <c r="E167" s="8"/>
      <c r="F167" s="67">
        <v>4</v>
      </c>
      <c r="G167" s="67"/>
      <c r="H167" s="67">
        <v>4</v>
      </c>
      <c r="I167" s="67"/>
      <c r="J167" s="67">
        <v>4</v>
      </c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>
        <v>4</v>
      </c>
      <c r="E168" s="8"/>
      <c r="F168" s="67">
        <v>4</v>
      </c>
      <c r="G168" s="67"/>
      <c r="H168" s="67">
        <v>4</v>
      </c>
      <c r="I168" s="67"/>
      <c r="J168" s="67">
        <v>4</v>
      </c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>
        <v>4</v>
      </c>
      <c r="E170" s="8"/>
      <c r="F170" s="67">
        <v>4</v>
      </c>
      <c r="G170" s="67"/>
      <c r="H170" s="67">
        <v>4</v>
      </c>
      <c r="I170" s="67"/>
      <c r="J170" s="67">
        <v>4</v>
      </c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/>
      <c r="E171" s="8"/>
      <c r="F171" s="67"/>
      <c r="G171" s="67"/>
      <c r="H171" s="67"/>
      <c r="I171" s="67"/>
      <c r="J171" s="67"/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>
        <v>4</v>
      </c>
      <c r="E174" s="8"/>
      <c r="F174" s="67">
        <v>4</v>
      </c>
      <c r="G174" s="67"/>
      <c r="H174" s="67">
        <v>4</v>
      </c>
      <c r="I174" s="67"/>
      <c r="J174" s="67">
        <v>4</v>
      </c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6" spans="1:16">
      <c r="B176"/>
    </row>
    <row r="177" spans="1:16" ht="15">
      <c r="B177" s="71" t="s">
        <v>44</v>
      </c>
      <c r="C177" s="71"/>
      <c r="D177" s="1">
        <f>SUM(D143:D174)</f>
        <v>72</v>
      </c>
      <c r="E177" s="1">
        <f t="shared" ref="E177:K177" si="9">SUM(E143:E174)</f>
        <v>0</v>
      </c>
      <c r="F177" s="1">
        <f t="shared" si="9"/>
        <v>72</v>
      </c>
      <c r="G177" s="1">
        <f t="shared" si="9"/>
        <v>0</v>
      </c>
      <c r="H177" s="1">
        <f t="shared" si="9"/>
        <v>72</v>
      </c>
      <c r="I177" s="1">
        <f t="shared" si="9"/>
        <v>0</v>
      </c>
      <c r="J177" s="1">
        <f t="shared" si="9"/>
        <v>72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B178"/>
      <c r="C178" s="64"/>
      <c r="D178" s="1">
        <f>COUNT(D143:D175)*5</f>
        <v>90</v>
      </c>
      <c r="E178" s="1">
        <f t="shared" ref="E178:K178" si="10">COUNT(E143:E175)*5</f>
        <v>0</v>
      </c>
      <c r="F178" s="1">
        <f t="shared" si="10"/>
        <v>90</v>
      </c>
      <c r="G178" s="1">
        <f t="shared" si="10"/>
        <v>0</v>
      </c>
      <c r="H178" s="1">
        <f t="shared" si="10"/>
        <v>90</v>
      </c>
      <c r="I178" s="1">
        <f t="shared" si="10"/>
        <v>0</v>
      </c>
      <c r="J178" s="1">
        <f t="shared" si="10"/>
        <v>90</v>
      </c>
      <c r="K178" s="1">
        <f t="shared" si="10"/>
        <v>0</v>
      </c>
      <c r="M178" s="18">
        <f>(D179+F179+H179+J179)/4</f>
        <v>0.8</v>
      </c>
      <c r="N178" s="18" t="e">
        <f>(E179+G179+I179+K179)/4</f>
        <v>#DIV/0!</v>
      </c>
    </row>
    <row r="179" spans="1:16" ht="15">
      <c r="B179"/>
      <c r="C179" s="2" t="s">
        <v>45</v>
      </c>
      <c r="D179" s="11">
        <f>D177/D178</f>
        <v>0.8</v>
      </c>
      <c r="E179" s="11" t="e">
        <f t="shared" ref="E179:K179" si="11">E177/E178</f>
        <v>#DIV/0!</v>
      </c>
      <c r="F179" s="11">
        <f t="shared" si="11"/>
        <v>0.8</v>
      </c>
      <c r="G179" s="11" t="e">
        <f t="shared" si="11"/>
        <v>#DIV/0!</v>
      </c>
      <c r="H179" s="11">
        <f t="shared" si="11"/>
        <v>0.8</v>
      </c>
      <c r="I179" s="11" t="e">
        <f t="shared" si="11"/>
        <v>#DIV/0!</v>
      </c>
      <c r="J179" s="11">
        <f t="shared" si="11"/>
        <v>0.8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>
        <v>46145</v>
      </c>
      <c r="E182" s="46"/>
      <c r="F182" s="42">
        <v>46152</v>
      </c>
      <c r="G182" s="42"/>
      <c r="H182" s="42">
        <v>46159</v>
      </c>
      <c r="I182" s="42"/>
      <c r="J182" s="42">
        <v>46166</v>
      </c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 t="s">
        <v>90</v>
      </c>
      <c r="E184" s="7"/>
      <c r="F184" s="38" t="s">
        <v>90</v>
      </c>
      <c r="G184" s="38"/>
      <c r="H184" s="38" t="s">
        <v>90</v>
      </c>
      <c r="I184" s="38"/>
      <c r="J184" s="38" t="s">
        <v>90</v>
      </c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>
        <v>4</v>
      </c>
      <c r="E185" s="65"/>
      <c r="F185" s="67">
        <v>4</v>
      </c>
      <c r="G185" s="67"/>
      <c r="H185" s="67">
        <v>4</v>
      </c>
      <c r="I185" s="67"/>
      <c r="J185" s="67">
        <v>4</v>
      </c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>
        <v>4</v>
      </c>
      <c r="E187" s="65"/>
      <c r="F187" s="67">
        <v>4</v>
      </c>
      <c r="G187" s="67"/>
      <c r="H187" s="67">
        <v>4</v>
      </c>
      <c r="I187" s="67"/>
      <c r="J187" s="67">
        <v>4</v>
      </c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>
        <v>4</v>
      </c>
      <c r="E190" s="65"/>
      <c r="F190" s="67">
        <v>4</v>
      </c>
      <c r="G190" s="67"/>
      <c r="H190" s="67">
        <v>4</v>
      </c>
      <c r="I190" s="67"/>
      <c r="J190" s="67">
        <v>4</v>
      </c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>
        <v>4</v>
      </c>
      <c r="E191" s="65"/>
      <c r="F191" s="67">
        <v>4</v>
      </c>
      <c r="G191" s="67"/>
      <c r="H191" s="67">
        <v>4</v>
      </c>
      <c r="I191" s="67"/>
      <c r="J191" s="67">
        <v>4</v>
      </c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>
        <v>4</v>
      </c>
      <c r="E192" s="65"/>
      <c r="F192" s="67">
        <v>4</v>
      </c>
      <c r="G192" s="67"/>
      <c r="H192" s="67">
        <v>4</v>
      </c>
      <c r="I192" s="67"/>
      <c r="J192" s="67">
        <v>4</v>
      </c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>
        <v>4</v>
      </c>
      <c r="E195" s="65"/>
      <c r="F195" s="67">
        <v>4</v>
      </c>
      <c r="G195" s="67"/>
      <c r="H195" s="67">
        <v>4</v>
      </c>
      <c r="I195" s="67"/>
      <c r="J195" s="67">
        <v>4</v>
      </c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>
        <v>4</v>
      </c>
      <c r="E196" s="65"/>
      <c r="F196" s="67">
        <v>4</v>
      </c>
      <c r="G196" s="67"/>
      <c r="H196" s="67">
        <v>4</v>
      </c>
      <c r="I196" s="67"/>
      <c r="J196" s="67">
        <v>4</v>
      </c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>
        <v>4</v>
      </c>
      <c r="E198" s="65"/>
      <c r="F198" s="67">
        <v>4</v>
      </c>
      <c r="G198" s="67"/>
      <c r="H198" s="67">
        <v>4</v>
      </c>
      <c r="I198" s="67"/>
      <c r="J198" s="67">
        <v>4</v>
      </c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>
        <v>4</v>
      </c>
      <c r="E201" s="65"/>
      <c r="F201" s="67">
        <v>4</v>
      </c>
      <c r="G201" s="67"/>
      <c r="H201" s="67">
        <v>4</v>
      </c>
      <c r="I201" s="67"/>
      <c r="J201" s="67">
        <v>4</v>
      </c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>
        <v>4</v>
      </c>
      <c r="E202" s="65"/>
      <c r="F202" s="67">
        <v>4</v>
      </c>
      <c r="G202" s="67"/>
      <c r="H202" s="67">
        <v>4</v>
      </c>
      <c r="I202" s="67"/>
      <c r="J202" s="67">
        <v>4</v>
      </c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>
        <v>4</v>
      </c>
      <c r="E203" s="65"/>
      <c r="F203" s="67">
        <v>4</v>
      </c>
      <c r="G203" s="67"/>
      <c r="H203" s="67">
        <v>4</v>
      </c>
      <c r="I203" s="67"/>
      <c r="J203" s="67">
        <v>4</v>
      </c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>
        <v>4</v>
      </c>
      <c r="E204" s="65"/>
      <c r="F204" s="67">
        <v>4</v>
      </c>
      <c r="G204" s="67"/>
      <c r="H204" s="67">
        <v>4</v>
      </c>
      <c r="I204" s="67"/>
      <c r="J204" s="67">
        <v>4</v>
      </c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>
        <v>4</v>
      </c>
      <c r="E205" s="65"/>
      <c r="F205" s="67">
        <v>4</v>
      </c>
      <c r="G205" s="67"/>
      <c r="H205" s="67">
        <v>4</v>
      </c>
      <c r="I205" s="67"/>
      <c r="J205" s="67">
        <v>4</v>
      </c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>
        <v>4</v>
      </c>
      <c r="E208" s="65"/>
      <c r="F208" s="67">
        <v>4</v>
      </c>
      <c r="G208" s="67"/>
      <c r="H208" s="67">
        <v>4</v>
      </c>
      <c r="I208" s="67"/>
      <c r="J208" s="67">
        <v>4</v>
      </c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>
        <v>4</v>
      </c>
      <c r="E209" s="65"/>
      <c r="F209" s="67">
        <v>4</v>
      </c>
      <c r="G209" s="67"/>
      <c r="H209" s="67">
        <v>4</v>
      </c>
      <c r="I209" s="67"/>
      <c r="J209" s="67">
        <v>4</v>
      </c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>
        <v>4</v>
      </c>
      <c r="E210" s="65"/>
      <c r="F210" s="67">
        <v>4</v>
      </c>
      <c r="G210" s="67"/>
      <c r="H210" s="67">
        <v>4</v>
      </c>
      <c r="I210" s="67"/>
      <c r="J210" s="67">
        <v>4</v>
      </c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>
        <v>4</v>
      </c>
      <c r="E212" s="65"/>
      <c r="F212" s="67">
        <v>4</v>
      </c>
      <c r="G212" s="67"/>
      <c r="H212" s="67">
        <v>4</v>
      </c>
      <c r="I212" s="67"/>
      <c r="J212" s="67">
        <v>4</v>
      </c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/>
      <c r="E213" s="65"/>
      <c r="F213" s="67"/>
      <c r="G213" s="67"/>
      <c r="H213" s="67"/>
      <c r="I213" s="67"/>
      <c r="J213" s="67"/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>
        <v>4</v>
      </c>
      <c r="E216" s="65"/>
      <c r="F216" s="67">
        <v>4</v>
      </c>
      <c r="G216" s="67"/>
      <c r="H216" s="67">
        <v>4</v>
      </c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8" spans="1:16">
      <c r="B218"/>
    </row>
    <row r="219" spans="1:16" ht="15">
      <c r="B219" s="71" t="s">
        <v>44</v>
      </c>
      <c r="C219" s="71"/>
      <c r="D219" s="1">
        <f>SUM(D185:D216)</f>
        <v>72</v>
      </c>
      <c r="E219" s="1">
        <f t="shared" ref="E219:K219" si="12">SUM(E185:E216)</f>
        <v>0</v>
      </c>
      <c r="F219" s="1">
        <f t="shared" si="12"/>
        <v>72</v>
      </c>
      <c r="G219" s="1">
        <f t="shared" si="12"/>
        <v>0</v>
      </c>
      <c r="H219" s="1">
        <f t="shared" si="12"/>
        <v>72</v>
      </c>
      <c r="I219" s="1">
        <f t="shared" si="12"/>
        <v>0</v>
      </c>
      <c r="J219" s="1">
        <f t="shared" si="12"/>
        <v>68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B220"/>
      <c r="C220" s="64"/>
      <c r="D220" s="1">
        <f>COUNT(D185:D217)*5</f>
        <v>90</v>
      </c>
      <c r="E220" s="1">
        <f t="shared" ref="E220:K220" si="13">COUNT(E185:E217)*5</f>
        <v>0</v>
      </c>
      <c r="F220" s="1">
        <f t="shared" si="13"/>
        <v>90</v>
      </c>
      <c r="G220" s="1">
        <f t="shared" si="13"/>
        <v>0</v>
      </c>
      <c r="H220" s="1">
        <f t="shared" si="13"/>
        <v>90</v>
      </c>
      <c r="I220" s="1">
        <f t="shared" si="13"/>
        <v>0</v>
      </c>
      <c r="J220" s="1">
        <f t="shared" si="13"/>
        <v>85</v>
      </c>
      <c r="K220" s="1">
        <f t="shared" si="13"/>
        <v>0</v>
      </c>
      <c r="M220" s="18">
        <f>(D221+F221+H221+J221)/4</f>
        <v>0.8</v>
      </c>
      <c r="N220" s="18" t="e">
        <f>(E221+G221+I221+K221)/4</f>
        <v>#DIV/0!</v>
      </c>
    </row>
    <row r="221" spans="1:16" ht="15">
      <c r="B221"/>
      <c r="C221" s="2" t="s">
        <v>45</v>
      </c>
      <c r="D221" s="11">
        <f>D219/D220</f>
        <v>0.8</v>
      </c>
      <c r="E221" s="11" t="e">
        <f t="shared" ref="E221:K221" si="14">E219/E220</f>
        <v>#DIV/0!</v>
      </c>
      <c r="F221" s="11">
        <f t="shared" si="14"/>
        <v>0.8</v>
      </c>
      <c r="G221" s="11" t="e">
        <f t="shared" si="14"/>
        <v>#DIV/0!</v>
      </c>
      <c r="H221" s="11">
        <f t="shared" si="14"/>
        <v>0.8</v>
      </c>
      <c r="I221" s="11" t="e">
        <f t="shared" si="14"/>
        <v>#DIV/0!</v>
      </c>
      <c r="J221" s="11">
        <f t="shared" si="14"/>
        <v>0.8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/>
      <c r="E255" s="65"/>
      <c r="F255" s="65"/>
      <c r="G255" s="65"/>
      <c r="H255" s="65"/>
      <c r="I255" s="65"/>
      <c r="J255" s="65"/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>
        <v>4</v>
      </c>
      <c r="E258" s="65"/>
      <c r="F258" s="65">
        <v>4</v>
      </c>
      <c r="G258" s="65"/>
      <c r="H258" s="65">
        <v>4</v>
      </c>
      <c r="I258" s="65"/>
      <c r="J258" s="65">
        <v>4</v>
      </c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B260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B262"/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B263"/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/>
      <c r="E297" s="56"/>
      <c r="F297" s="56"/>
      <c r="G297" s="56"/>
      <c r="H297" s="56"/>
      <c r="I297" s="56"/>
      <c r="J297" s="56"/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>
        <v>4</v>
      </c>
      <c r="E300" s="56"/>
      <c r="F300" s="56">
        <v>4</v>
      </c>
      <c r="G300" s="56"/>
      <c r="H300" s="56">
        <v>4</v>
      </c>
      <c r="I300" s="56"/>
      <c r="J300" s="56">
        <v>4</v>
      </c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2" spans="1:16">
      <c r="B302"/>
    </row>
    <row r="303" spans="1:16" ht="15">
      <c r="B303" s="71" t="s">
        <v>44</v>
      </c>
      <c r="C303" s="71"/>
      <c r="D303" s="1">
        <f>SUM(D269:D300)</f>
        <v>72</v>
      </c>
      <c r="E303" s="1">
        <f t="shared" ref="E303:K303" si="18">SUM(E269:E300)</f>
        <v>0</v>
      </c>
      <c r="F303" s="1">
        <f t="shared" si="18"/>
        <v>72</v>
      </c>
      <c r="G303" s="1">
        <f t="shared" si="18"/>
        <v>0</v>
      </c>
      <c r="H303" s="1">
        <f t="shared" si="18"/>
        <v>72</v>
      </c>
      <c r="I303" s="1">
        <f t="shared" si="18"/>
        <v>0</v>
      </c>
      <c r="J303" s="1">
        <f t="shared" si="18"/>
        <v>72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B304"/>
      <c r="C304" s="64"/>
      <c r="D304" s="1">
        <f>COUNT(D269:D301)*5</f>
        <v>90</v>
      </c>
      <c r="E304" s="1">
        <f t="shared" ref="E304:K304" si="19">COUNT(E269:E301)*5</f>
        <v>0</v>
      </c>
      <c r="F304" s="1">
        <f t="shared" si="19"/>
        <v>90</v>
      </c>
      <c r="G304" s="1">
        <f t="shared" si="19"/>
        <v>0</v>
      </c>
      <c r="H304" s="1">
        <f t="shared" si="19"/>
        <v>90</v>
      </c>
      <c r="I304" s="1">
        <f t="shared" si="19"/>
        <v>0</v>
      </c>
      <c r="J304" s="1">
        <f t="shared" si="19"/>
        <v>90</v>
      </c>
      <c r="K304" s="1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B305"/>
      <c r="C305" s="2" t="s">
        <v>45</v>
      </c>
      <c r="D305" s="11">
        <f>D303/D304</f>
        <v>0.8</v>
      </c>
      <c r="E305" s="11" t="e">
        <f t="shared" ref="E305:K305" si="20">E303/E304</f>
        <v>#DIV/0!</v>
      </c>
      <c r="F305" s="11">
        <f t="shared" si="20"/>
        <v>0.8</v>
      </c>
      <c r="G305" s="11" t="e">
        <f t="shared" si="20"/>
        <v>#DIV/0!</v>
      </c>
      <c r="H305" s="11">
        <f t="shared" si="20"/>
        <v>0.8</v>
      </c>
      <c r="I305" s="11" t="e">
        <f t="shared" si="20"/>
        <v>#DIV/0!</v>
      </c>
      <c r="J305" s="11">
        <f t="shared" si="20"/>
        <v>0.8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>
        <v>46236</v>
      </c>
      <c r="E308" s="46"/>
      <c r="F308" s="46">
        <v>46243</v>
      </c>
      <c r="G308" s="46"/>
      <c r="H308" s="46">
        <v>46250</v>
      </c>
      <c r="I308" s="46"/>
      <c r="J308" s="46">
        <v>46257</v>
      </c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7"/>
      <c r="F310" s="7" t="s">
        <v>90</v>
      </c>
      <c r="G310" s="7"/>
      <c r="H310" s="7" t="s">
        <v>90</v>
      </c>
      <c r="I310" s="7"/>
      <c r="J310" s="7" t="s">
        <v>90</v>
      </c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65"/>
      <c r="F311" s="65">
        <v>4</v>
      </c>
      <c r="G311" s="65"/>
      <c r="H311" s="65">
        <v>4</v>
      </c>
      <c r="I311" s="65"/>
      <c r="J311" s="65">
        <v>4</v>
      </c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65"/>
      <c r="F313" s="65">
        <v>4</v>
      </c>
      <c r="G313" s="65"/>
      <c r="H313" s="65">
        <v>4</v>
      </c>
      <c r="I313" s="65"/>
      <c r="J313" s="65">
        <v>4</v>
      </c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65"/>
      <c r="F316" s="65">
        <v>4</v>
      </c>
      <c r="G316" s="65"/>
      <c r="H316" s="65">
        <v>4</v>
      </c>
      <c r="I316" s="65"/>
      <c r="J316" s="65">
        <v>4</v>
      </c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65"/>
      <c r="F317" s="65">
        <v>4</v>
      </c>
      <c r="G317" s="65"/>
      <c r="H317" s="65">
        <v>4</v>
      </c>
      <c r="I317" s="65"/>
      <c r="J317" s="65">
        <v>4</v>
      </c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65"/>
      <c r="F318" s="65">
        <v>4</v>
      </c>
      <c r="G318" s="65"/>
      <c r="H318" s="65">
        <v>4</v>
      </c>
      <c r="I318" s="65"/>
      <c r="J318" s="65">
        <v>4</v>
      </c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65"/>
      <c r="F321" s="65">
        <v>4</v>
      </c>
      <c r="G321" s="65"/>
      <c r="H321" s="65">
        <v>4</v>
      </c>
      <c r="I321" s="65"/>
      <c r="J321" s="65">
        <v>4</v>
      </c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65"/>
      <c r="F322" s="65">
        <v>4</v>
      </c>
      <c r="G322" s="65"/>
      <c r="H322" s="65">
        <v>4</v>
      </c>
      <c r="I322" s="65"/>
      <c r="J322" s="65">
        <v>4</v>
      </c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65"/>
      <c r="F324" s="65">
        <v>4</v>
      </c>
      <c r="G324" s="65"/>
      <c r="H324" s="65">
        <v>4</v>
      </c>
      <c r="I324" s="65"/>
      <c r="J324" s="65">
        <v>4</v>
      </c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65"/>
      <c r="F327" s="65">
        <v>4</v>
      </c>
      <c r="G327" s="65"/>
      <c r="H327" s="65">
        <v>4</v>
      </c>
      <c r="I327" s="65"/>
      <c r="J327" s="65">
        <v>4</v>
      </c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65"/>
      <c r="F328" s="65">
        <v>4</v>
      </c>
      <c r="G328" s="65"/>
      <c r="H328" s="65">
        <v>4</v>
      </c>
      <c r="I328" s="65"/>
      <c r="J328" s="65">
        <v>4</v>
      </c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65"/>
      <c r="F329" s="65">
        <v>4</v>
      </c>
      <c r="G329" s="65"/>
      <c r="H329" s="65">
        <v>4</v>
      </c>
      <c r="I329" s="65"/>
      <c r="J329" s="65">
        <v>4</v>
      </c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65"/>
      <c r="F330" s="65">
        <v>4</v>
      </c>
      <c r="G330" s="65"/>
      <c r="H330" s="65">
        <v>4</v>
      </c>
      <c r="I330" s="65"/>
      <c r="J330" s="65">
        <v>4</v>
      </c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65"/>
      <c r="F331" s="65">
        <v>4</v>
      </c>
      <c r="G331" s="65"/>
      <c r="H331" s="65">
        <v>4</v>
      </c>
      <c r="I331" s="65"/>
      <c r="J331" s="65">
        <v>4</v>
      </c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65"/>
      <c r="F334" s="65">
        <v>4</v>
      </c>
      <c r="G334" s="65"/>
      <c r="H334" s="65">
        <v>4</v>
      </c>
      <c r="I334" s="65"/>
      <c r="J334" s="65">
        <v>4</v>
      </c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65"/>
      <c r="F335" s="65">
        <v>4</v>
      </c>
      <c r="G335" s="65"/>
      <c r="H335" s="65">
        <v>4</v>
      </c>
      <c r="I335" s="65"/>
      <c r="J335" s="65">
        <v>4</v>
      </c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65"/>
      <c r="F336" s="65">
        <v>4</v>
      </c>
      <c r="G336" s="65"/>
      <c r="H336" s="65">
        <v>4</v>
      </c>
      <c r="I336" s="65"/>
      <c r="J336" s="65">
        <v>4</v>
      </c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65"/>
      <c r="F338" s="65">
        <v>4</v>
      </c>
      <c r="G338" s="65"/>
      <c r="H338" s="65">
        <v>4</v>
      </c>
      <c r="I338" s="65"/>
      <c r="J338" s="65">
        <v>4</v>
      </c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/>
      <c r="E339" s="65"/>
      <c r="F339" s="65"/>
      <c r="G339" s="65"/>
      <c r="H339" s="65"/>
      <c r="I339" s="65"/>
      <c r="J339" s="65"/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>
        <v>4</v>
      </c>
      <c r="E342" s="65"/>
      <c r="F342" s="65">
        <v>4</v>
      </c>
      <c r="G342" s="65"/>
      <c r="H342" s="65">
        <v>4</v>
      </c>
      <c r="I342" s="65"/>
      <c r="J342" s="65">
        <v>4</v>
      </c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4" spans="1:16">
      <c r="B344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B346"/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B347"/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6" spans="1:16">
      <c r="B3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B388"/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B389"/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8" spans="1:16">
      <c r="B428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B430"/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B431"/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0" spans="1:16">
      <c r="B470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B472"/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B473"/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2" spans="1:16">
      <c r="B512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B514"/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B515"/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</mergeCells>
  <hyperlinks>
    <hyperlink ref="B2" location="'ALL STAFF'!A1" display="&lt;BACK" xr:uid="{1579DBAB-CB69-4105-942D-CA71CA60CF9D}"/>
    <hyperlink ref="C13" location="'ALL STAFF'!A1" display="&lt;BACK" xr:uid="{3E1786BA-E08A-4CC2-98A0-7AF78447D016}"/>
    <hyperlink ref="C55" location="'ALL STAFF'!A1" display="&lt;BACK" xr:uid="{ADC2E5FC-6119-4A3C-8F70-7649CF7A0530}"/>
    <hyperlink ref="C97" location="'ALL STAFF'!A1" display="&lt;BACK" xr:uid="{DB452059-EF9C-4B32-812F-680004D41FD6}"/>
    <hyperlink ref="C139" location="'ALL STAFF'!A1" display="&lt;BACK" xr:uid="{7BC5B23D-9F68-4417-9F89-057A3F4FE238}"/>
    <hyperlink ref="C181" location="'ALL STAFF'!A1" display="&lt;BACK" xr:uid="{FABA80E6-3294-40F0-87D9-B609E3E26F6E}"/>
    <hyperlink ref="C223" location="'ALL STAFF'!A1" display="&lt;BACK" xr:uid="{81937C55-E822-476C-8B2B-661A79072134}"/>
    <hyperlink ref="C265" location="'ALL STAFF'!A1" display="&lt;BACK" xr:uid="{A2056D7A-0AFE-4558-85E8-0CA8C528941C}"/>
    <hyperlink ref="C307" location="'ALL STAFF'!A1" display="&lt;BACK" xr:uid="{587E9E59-550A-4FB4-B3C2-60693F89387D}"/>
    <hyperlink ref="C349" location="'ALL STAFF'!A1" display="&lt;BACK" xr:uid="{526BB0DE-013B-414D-BAA5-3B3DDDCB0512}"/>
    <hyperlink ref="C391" location="'ALL STAFF'!A1" display="&lt;BACK" xr:uid="{18BD94A3-FA34-4921-8A57-3EA49DFB05B5}"/>
    <hyperlink ref="C433" location="'ALL STAFF'!A1" display="&lt;BACK" xr:uid="{113E8CEF-FC39-40B4-AA09-979012CB8F9C}"/>
    <hyperlink ref="C475" location="'ALL STAFF'!A1" display="&lt;BACK" xr:uid="{02BA172F-2AB9-458E-8C5E-7C5DB6930E91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0BA39C-F227-409B-99B9-490DAA1A013E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16B9-2BFE-40AB-89FF-0BD8E72A1A00}">
  <sheetPr codeName="Sheet5"/>
  <dimension ref="A1:T515"/>
  <sheetViews>
    <sheetView topLeftCell="A307" zoomScale="80" zoomScaleNormal="80" workbookViewId="0">
      <selection activeCell="G335" sqref="G335"/>
    </sheetView>
  </sheetViews>
  <sheetFormatPr defaultRowHeight="14.25"/>
  <cols>
    <col min="1" max="1" width="5" customWidth="1"/>
    <col min="2" max="2" width="52.625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23" t="s">
        <v>6</v>
      </c>
      <c r="R2" s="20">
        <v>46023</v>
      </c>
      <c r="S2" s="21" t="e">
        <f>M52</f>
        <v>#DIV/0!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 t="e">
        <f>M178</f>
        <v>#DIV/0!</v>
      </c>
      <c r="T5" s="21" t="e">
        <f>N178</f>
        <v>#DIV/0!</v>
      </c>
    </row>
    <row r="6" spans="1:20" ht="15">
      <c r="A6" s="27">
        <v>3</v>
      </c>
      <c r="R6" s="20">
        <v>46143</v>
      </c>
      <c r="S6" s="21" t="e">
        <f>M220</f>
        <v>#DIV/0!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/>
      <c r="E14" s="46"/>
      <c r="F14" s="46"/>
      <c r="G14" s="46"/>
      <c r="H14" s="46"/>
      <c r="I14" s="46"/>
      <c r="J14" s="46"/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/>
      <c r="E16" s="7"/>
      <c r="F16" s="7"/>
      <c r="G16" s="7"/>
      <c r="H16" s="7"/>
      <c r="I16" s="7"/>
      <c r="J16" s="7"/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/>
      <c r="E17" s="67"/>
      <c r="F17" s="67"/>
      <c r="G17" s="67"/>
      <c r="H17" s="67"/>
      <c r="I17" s="67"/>
      <c r="J17" s="67"/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/>
      <c r="E19" s="67"/>
      <c r="F19" s="67"/>
      <c r="G19" s="67"/>
      <c r="H19" s="67"/>
      <c r="I19" s="67"/>
      <c r="J19" s="67"/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/>
      <c r="E22" s="67"/>
      <c r="F22" s="67"/>
      <c r="G22" s="67"/>
      <c r="H22" s="67"/>
      <c r="I22" s="67"/>
      <c r="J22" s="67"/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/>
      <c r="E23" s="67"/>
      <c r="F23" s="67"/>
      <c r="G23" s="67"/>
      <c r="H23" s="67"/>
      <c r="I23" s="67"/>
      <c r="J23" s="67"/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/>
      <c r="E24" s="67"/>
      <c r="F24" s="67"/>
      <c r="G24" s="67"/>
      <c r="H24" s="67"/>
      <c r="I24" s="67"/>
      <c r="J24" s="67"/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/>
      <c r="E27" s="67"/>
      <c r="F27" s="67"/>
      <c r="G27" s="67"/>
      <c r="H27" s="67"/>
      <c r="I27" s="67"/>
      <c r="J27" s="67"/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/>
      <c r="E28" s="67"/>
      <c r="F28" s="67"/>
      <c r="G28" s="67"/>
      <c r="H28" s="67"/>
      <c r="I28" s="67"/>
      <c r="J28" s="67"/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/>
      <c r="E30" s="67"/>
      <c r="F30" s="67"/>
      <c r="G30" s="67"/>
      <c r="H30" s="67"/>
      <c r="I30" s="67"/>
      <c r="J30" s="67"/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/>
      <c r="E33" s="67"/>
      <c r="F33" s="67"/>
      <c r="G33" s="67"/>
      <c r="H33" s="67"/>
      <c r="I33" s="67"/>
      <c r="J33" s="67"/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/>
      <c r="E34" s="67"/>
      <c r="F34" s="67"/>
      <c r="G34" s="67"/>
      <c r="H34" s="67"/>
      <c r="I34" s="67"/>
      <c r="J34" s="67"/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/>
      <c r="E35" s="67"/>
      <c r="F35" s="67"/>
      <c r="G35" s="67"/>
      <c r="H35" s="67"/>
      <c r="I35" s="67"/>
      <c r="J35" s="67"/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/>
      <c r="E36" s="67"/>
      <c r="F36" s="67"/>
      <c r="G36" s="67"/>
      <c r="H36" s="67"/>
      <c r="I36" s="67"/>
      <c r="J36" s="67"/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/>
      <c r="E37" s="67"/>
      <c r="F37" s="67"/>
      <c r="G37" s="67"/>
      <c r="H37" s="67"/>
      <c r="I37" s="67"/>
      <c r="J37" s="67"/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/>
      <c r="E40" s="67"/>
      <c r="F40" s="67"/>
      <c r="G40" s="67"/>
      <c r="H40" s="67"/>
      <c r="I40" s="67"/>
      <c r="J40" s="67"/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/>
      <c r="E41" s="67"/>
      <c r="F41" s="67"/>
      <c r="G41" s="67"/>
      <c r="H41" s="67"/>
      <c r="I41" s="67"/>
      <c r="J41" s="67"/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/>
      <c r="E42" s="67"/>
      <c r="F42" s="67"/>
      <c r="G42" s="67"/>
      <c r="H42" s="67"/>
      <c r="I42" s="67"/>
      <c r="J42" s="67"/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/>
      <c r="E44" s="67"/>
      <c r="F44" s="67"/>
      <c r="G44" s="67"/>
      <c r="H44" s="67"/>
      <c r="I44" s="67"/>
      <c r="J44" s="67"/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/>
      <c r="E45" s="67"/>
      <c r="F45" s="67"/>
      <c r="G45" s="67"/>
      <c r="H45" s="67"/>
      <c r="I45" s="67"/>
      <c r="J45" s="67"/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/>
      <c r="E48" s="67"/>
      <c r="F48" s="67"/>
      <c r="G48" s="67"/>
      <c r="H48" s="67"/>
      <c r="I48" s="67"/>
      <c r="J48" s="67"/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1" spans="1:16" ht="15">
      <c r="B51" s="71" t="s">
        <v>44</v>
      </c>
      <c r="C51" s="71"/>
      <c r="D51" s="1">
        <f>SUM(D17:D48)</f>
        <v>0</v>
      </c>
      <c r="E51" s="1">
        <f t="shared" ref="E51:K51" si="0">SUM(E17:E48)</f>
        <v>0</v>
      </c>
      <c r="F51" s="1">
        <f t="shared" si="0"/>
        <v>0</v>
      </c>
      <c r="G51" s="1">
        <f t="shared" si="0"/>
        <v>0</v>
      </c>
      <c r="H51" s="1">
        <f t="shared" si="0"/>
        <v>0</v>
      </c>
      <c r="I51" s="1">
        <f t="shared" si="0"/>
        <v>0</v>
      </c>
      <c r="J51" s="1">
        <f t="shared" si="0"/>
        <v>0</v>
      </c>
      <c r="K51" s="1">
        <f t="shared" si="0"/>
        <v>0</v>
      </c>
      <c r="M51" s="17" t="s">
        <v>2</v>
      </c>
      <c r="N51" s="17" t="s">
        <v>3</v>
      </c>
    </row>
    <row r="52" spans="1:16" ht="15">
      <c r="C52" s="64"/>
      <c r="D52" s="1">
        <f>COUNT(D17:D49)*5</f>
        <v>0</v>
      </c>
      <c r="E52" s="1">
        <f t="shared" ref="E52:K52" si="1">COUNT(E17:E49)*5</f>
        <v>0</v>
      </c>
      <c r="F52" s="1">
        <f t="shared" si="1"/>
        <v>0</v>
      </c>
      <c r="G52" s="1">
        <f t="shared" si="1"/>
        <v>0</v>
      </c>
      <c r="H52" s="1">
        <f t="shared" si="1"/>
        <v>0</v>
      </c>
      <c r="I52" s="1">
        <f t="shared" si="1"/>
        <v>0</v>
      </c>
      <c r="J52" s="1">
        <f t="shared" si="1"/>
        <v>0</v>
      </c>
      <c r="K52" s="1">
        <f t="shared" si="1"/>
        <v>0</v>
      </c>
      <c r="M52" s="18" t="e">
        <f>(D53+F53+H53+J53)/4</f>
        <v>#DIV/0!</v>
      </c>
      <c r="N52" s="18" t="e">
        <f>(E53+G53+I53+K53)/4</f>
        <v>#DIV/0!</v>
      </c>
    </row>
    <row r="53" spans="1:16" ht="15">
      <c r="C53" s="2" t="s">
        <v>45</v>
      </c>
      <c r="D53" s="11" t="e">
        <f>D51/D52</f>
        <v>#DIV/0!</v>
      </c>
      <c r="E53" s="11" t="e">
        <f t="shared" ref="E53:K53" si="2">E51/E52</f>
        <v>#DIV/0!</v>
      </c>
      <c r="F53" s="11" t="e">
        <f t="shared" si="2"/>
        <v>#DIV/0!</v>
      </c>
      <c r="G53" s="11" t="e">
        <f t="shared" si="2"/>
        <v>#DIV/0!</v>
      </c>
      <c r="H53" s="11" t="e">
        <f t="shared" si="2"/>
        <v>#DIV/0!</v>
      </c>
      <c r="I53" s="11" t="e">
        <f t="shared" si="2"/>
        <v>#DIV/0!</v>
      </c>
      <c r="J53" s="11" t="e">
        <f t="shared" si="2"/>
        <v>#DIV/0!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/>
      <c r="E56" s="29"/>
      <c r="F56" s="29"/>
      <c r="G56" s="29"/>
      <c r="H56" s="29"/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/>
      <c r="E58" s="6"/>
      <c r="F58" s="6"/>
      <c r="G58" s="6"/>
      <c r="H58" s="6"/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/>
      <c r="E59" s="8"/>
      <c r="F59" s="8"/>
      <c r="G59" s="8"/>
      <c r="H59" s="8"/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/>
      <c r="E61" s="8"/>
      <c r="F61" s="8"/>
      <c r="G61" s="8"/>
      <c r="H61" s="8"/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/>
      <c r="E64" s="8"/>
      <c r="F64" s="8"/>
      <c r="G64" s="8"/>
      <c r="H64" s="8"/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/>
      <c r="E65" s="8"/>
      <c r="F65" s="8"/>
      <c r="G65" s="8"/>
      <c r="H65" s="8"/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/>
      <c r="E66" s="8"/>
      <c r="F66" s="8"/>
      <c r="G66" s="8"/>
      <c r="H66" s="8"/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/>
      <c r="E69" s="8"/>
      <c r="F69" s="8"/>
      <c r="G69" s="8"/>
      <c r="H69" s="8"/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/>
      <c r="E70" s="8"/>
      <c r="F70" s="8"/>
      <c r="G70" s="8"/>
      <c r="H70" s="8"/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/>
      <c r="E72" s="8"/>
      <c r="F72" s="8"/>
      <c r="G72" s="8"/>
      <c r="H72" s="8"/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/>
      <c r="E75" s="8"/>
      <c r="F75" s="8"/>
      <c r="G75" s="8"/>
      <c r="H75" s="8"/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/>
      <c r="E76" s="8"/>
      <c r="F76" s="8"/>
      <c r="G76" s="8"/>
      <c r="H76" s="8"/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/>
      <c r="E77" s="8"/>
      <c r="F77" s="8"/>
      <c r="G77" s="8"/>
      <c r="H77" s="8"/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/>
      <c r="E78" s="8"/>
      <c r="F78" s="8"/>
      <c r="G78" s="8"/>
      <c r="H78" s="8"/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/>
      <c r="E79" s="8"/>
      <c r="F79" s="8"/>
      <c r="G79" s="8"/>
      <c r="H79" s="8"/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/>
      <c r="E82" s="8"/>
      <c r="F82" s="8"/>
      <c r="G82" s="8"/>
      <c r="H82" s="8"/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/>
      <c r="E83" s="8"/>
      <c r="F83" s="8"/>
      <c r="G83" s="8"/>
      <c r="H83" s="8"/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/>
      <c r="E84" s="8"/>
      <c r="F84" s="8"/>
      <c r="G84" s="8"/>
      <c r="H84" s="8"/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/>
      <c r="E86" s="8"/>
      <c r="F86" s="8"/>
      <c r="G86" s="8"/>
      <c r="H86" s="8"/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/>
      <c r="E90" s="8"/>
      <c r="F90" s="8"/>
      <c r="G90" s="8"/>
      <c r="H90" s="8"/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3" spans="1:16" ht="15">
      <c r="B93" s="71" t="s">
        <v>44</v>
      </c>
      <c r="C93" s="71"/>
      <c r="D93" s="1">
        <f>SUM(D59:D90)</f>
        <v>0</v>
      </c>
      <c r="E93" s="1">
        <f t="shared" ref="E93:K93" si="3">SUM(E59:E90)</f>
        <v>0</v>
      </c>
      <c r="F93" s="1">
        <f t="shared" si="3"/>
        <v>0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C94" s="64"/>
      <c r="D94" s="1">
        <f>COUNT(D59:D91)*5</f>
        <v>0</v>
      </c>
      <c r="E94" s="1">
        <f t="shared" ref="E94:K94" si="4">COUNT(E59:E91)*5</f>
        <v>0</v>
      </c>
      <c r="F94" s="1">
        <f t="shared" si="4"/>
        <v>0</v>
      </c>
      <c r="G94" s="1">
        <f t="shared" si="4"/>
        <v>0</v>
      </c>
      <c r="H94" s="1">
        <f t="shared" si="4"/>
        <v>0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C95" s="2" t="s">
        <v>45</v>
      </c>
      <c r="D95" s="11" t="e">
        <f>D93/D94</f>
        <v>#DIV/0!</v>
      </c>
      <c r="E95" s="11" t="e">
        <f t="shared" ref="E95:K95" si="5">E93/E94</f>
        <v>#DIV/0!</v>
      </c>
      <c r="F95" s="11" t="e">
        <f t="shared" si="5"/>
        <v>#DIV/0!</v>
      </c>
      <c r="G95" s="11" t="e">
        <f t="shared" si="5"/>
        <v>#DIV/0!</v>
      </c>
      <c r="H95" s="11" t="e">
        <f t="shared" si="5"/>
        <v>#DIV/0!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/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/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/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/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/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/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/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/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/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/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/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/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/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/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/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/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/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/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/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/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/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5" spans="1:16" ht="15">
      <c r="B135" s="71" t="s">
        <v>44</v>
      </c>
      <c r="C135" s="71"/>
      <c r="D135" s="1">
        <f>SUM(D101:D132)</f>
        <v>0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C136" s="64"/>
      <c r="D136" s="1">
        <f>COUNT(D101:D133)*5</f>
        <v>0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C137" s="2" t="s">
        <v>45</v>
      </c>
      <c r="D137" s="11" t="e">
        <f>D135/D136</f>
        <v>#DIV/0!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/>
      <c r="E140" s="29"/>
      <c r="F140" s="42"/>
      <c r="G140" s="42"/>
      <c r="H140" s="42"/>
      <c r="I140" s="42"/>
      <c r="J140" s="42"/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/>
      <c r="E142" s="6"/>
      <c r="F142" s="38"/>
      <c r="G142" s="38"/>
      <c r="H142" s="38"/>
      <c r="I142" s="38"/>
      <c r="J142" s="38"/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/>
      <c r="E143" s="8"/>
      <c r="F143" s="67"/>
      <c r="G143" s="67"/>
      <c r="H143" s="67"/>
      <c r="I143" s="67"/>
      <c r="J143" s="67"/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/>
      <c r="E145" s="8"/>
      <c r="F145" s="67"/>
      <c r="G145" s="67"/>
      <c r="H145" s="67"/>
      <c r="I145" s="67"/>
      <c r="J145" s="67"/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/>
      <c r="E148" s="8"/>
      <c r="F148" s="67"/>
      <c r="G148" s="67"/>
      <c r="H148" s="67"/>
      <c r="I148" s="67"/>
      <c r="J148" s="67"/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/>
      <c r="E149" s="8"/>
      <c r="F149" s="67"/>
      <c r="G149" s="67"/>
      <c r="H149" s="67"/>
      <c r="I149" s="67"/>
      <c r="J149" s="67"/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/>
      <c r="E150" s="8"/>
      <c r="F150" s="67"/>
      <c r="G150" s="67"/>
      <c r="H150" s="67"/>
      <c r="I150" s="67"/>
      <c r="J150" s="67"/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/>
      <c r="E153" s="8"/>
      <c r="F153" s="67"/>
      <c r="G153" s="67"/>
      <c r="H153" s="67"/>
      <c r="I153" s="67"/>
      <c r="J153" s="67"/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/>
      <c r="E154" s="8"/>
      <c r="F154" s="67"/>
      <c r="G154" s="67"/>
      <c r="H154" s="67"/>
      <c r="I154" s="67"/>
      <c r="J154" s="67"/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/>
      <c r="E156" s="8"/>
      <c r="F156" s="67"/>
      <c r="G156" s="67"/>
      <c r="H156" s="67"/>
      <c r="I156" s="67"/>
      <c r="J156" s="67"/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/>
      <c r="E159" s="8"/>
      <c r="F159" s="67"/>
      <c r="G159" s="67"/>
      <c r="H159" s="67"/>
      <c r="I159" s="67"/>
      <c r="J159" s="67"/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/>
      <c r="E160" s="8"/>
      <c r="F160" s="67"/>
      <c r="G160" s="67"/>
      <c r="H160" s="67"/>
      <c r="I160" s="67"/>
      <c r="J160" s="67"/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/>
      <c r="E161" s="8"/>
      <c r="F161" s="67"/>
      <c r="G161" s="67"/>
      <c r="H161" s="67"/>
      <c r="I161" s="67"/>
      <c r="J161" s="67"/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/>
      <c r="E162" s="8"/>
      <c r="F162" s="67"/>
      <c r="G162" s="67"/>
      <c r="H162" s="67"/>
      <c r="I162" s="67"/>
      <c r="J162" s="67"/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/>
      <c r="E163" s="8"/>
      <c r="F163" s="67"/>
      <c r="G163" s="67"/>
      <c r="H163" s="67"/>
      <c r="I163" s="67"/>
      <c r="J163" s="67"/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/>
      <c r="E166" s="8"/>
      <c r="F166" s="67"/>
      <c r="G166" s="67"/>
      <c r="H166" s="67"/>
      <c r="I166" s="67"/>
      <c r="J166" s="67"/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/>
      <c r="E167" s="8"/>
      <c r="F167" s="67"/>
      <c r="G167" s="67"/>
      <c r="H167" s="67"/>
      <c r="I167" s="67"/>
      <c r="J167" s="67"/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/>
      <c r="E168" s="8"/>
      <c r="F168" s="67"/>
      <c r="G168" s="67"/>
      <c r="H168" s="67"/>
      <c r="I168" s="67"/>
      <c r="J168" s="67"/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/>
      <c r="E170" s="8"/>
      <c r="F170" s="67"/>
      <c r="G170" s="67"/>
      <c r="H170" s="67"/>
      <c r="I170" s="67"/>
      <c r="J170" s="67"/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/>
      <c r="E171" s="8"/>
      <c r="F171" s="67"/>
      <c r="G171" s="67"/>
      <c r="H171" s="67"/>
      <c r="I171" s="67"/>
      <c r="J171" s="67"/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7" spans="1:16" ht="15">
      <c r="B177" s="71" t="s">
        <v>44</v>
      </c>
      <c r="C177" s="71"/>
      <c r="D177" s="1">
        <f>SUM(D143:D174)</f>
        <v>0</v>
      </c>
      <c r="E177" s="1">
        <f t="shared" ref="E177:K177" si="9">SUM(E143:E174)</f>
        <v>0</v>
      </c>
      <c r="F177" s="1">
        <f t="shared" si="9"/>
        <v>0</v>
      </c>
      <c r="G177" s="1">
        <f t="shared" si="9"/>
        <v>0</v>
      </c>
      <c r="H177" s="1">
        <f t="shared" si="9"/>
        <v>0</v>
      </c>
      <c r="I177" s="1">
        <f t="shared" si="9"/>
        <v>0</v>
      </c>
      <c r="J177" s="1">
        <f t="shared" si="9"/>
        <v>0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C178" s="64"/>
      <c r="D178" s="1">
        <f>COUNT(D143:D175)*5</f>
        <v>0</v>
      </c>
      <c r="E178" s="1">
        <f t="shared" ref="E178:K178" si="10">COUNT(E143:E175)*5</f>
        <v>0</v>
      </c>
      <c r="F178" s="1">
        <f t="shared" si="10"/>
        <v>0</v>
      </c>
      <c r="G178" s="1">
        <f t="shared" si="10"/>
        <v>0</v>
      </c>
      <c r="H178" s="1">
        <f t="shared" si="10"/>
        <v>0</v>
      </c>
      <c r="I178" s="1">
        <f t="shared" si="10"/>
        <v>0</v>
      </c>
      <c r="J178" s="1">
        <f t="shared" si="10"/>
        <v>0</v>
      </c>
      <c r="K178" s="1">
        <f t="shared" si="10"/>
        <v>0</v>
      </c>
      <c r="M178" s="18" t="e">
        <f>(D179+F179+H179+J179)/4</f>
        <v>#DIV/0!</v>
      </c>
      <c r="N178" s="18" t="e">
        <f>(E179+G179+I179+K179)/4</f>
        <v>#DIV/0!</v>
      </c>
    </row>
    <row r="179" spans="1:16" ht="15">
      <c r="C179" s="2" t="s">
        <v>45</v>
      </c>
      <c r="D179" s="11" t="e">
        <f>D177/D178</f>
        <v>#DIV/0!</v>
      </c>
      <c r="E179" s="11" t="e">
        <f t="shared" ref="E179:K179" si="11">E177/E178</f>
        <v>#DIV/0!</v>
      </c>
      <c r="F179" s="11" t="e">
        <f t="shared" si="11"/>
        <v>#DIV/0!</v>
      </c>
      <c r="G179" s="11" t="e">
        <f t="shared" si="11"/>
        <v>#DIV/0!</v>
      </c>
      <c r="H179" s="11" t="e">
        <f t="shared" si="11"/>
        <v>#DIV/0!</v>
      </c>
      <c r="I179" s="11" t="e">
        <f t="shared" si="11"/>
        <v>#DIV/0!</v>
      </c>
      <c r="J179" s="11" t="e">
        <f t="shared" si="11"/>
        <v>#DIV/0!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/>
      <c r="E182" s="46"/>
      <c r="F182" s="42"/>
      <c r="G182" s="42"/>
      <c r="H182" s="42"/>
      <c r="I182" s="42"/>
      <c r="J182" s="42"/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/>
      <c r="E184" s="7"/>
      <c r="F184" s="38"/>
      <c r="G184" s="38"/>
      <c r="H184" s="38"/>
      <c r="I184" s="38"/>
      <c r="J184" s="38"/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/>
      <c r="E185" s="65"/>
      <c r="F185" s="67"/>
      <c r="G185" s="67"/>
      <c r="H185" s="67"/>
      <c r="I185" s="67"/>
      <c r="J185" s="67"/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/>
      <c r="E187" s="65"/>
      <c r="F187" s="67"/>
      <c r="G187" s="67"/>
      <c r="H187" s="67"/>
      <c r="I187" s="67"/>
      <c r="J187" s="67"/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/>
      <c r="E190" s="65"/>
      <c r="F190" s="67"/>
      <c r="G190" s="67"/>
      <c r="H190" s="67"/>
      <c r="I190" s="67"/>
      <c r="J190" s="67"/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/>
      <c r="E191" s="65"/>
      <c r="F191" s="67"/>
      <c r="G191" s="67"/>
      <c r="H191" s="67"/>
      <c r="I191" s="67"/>
      <c r="J191" s="67"/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/>
      <c r="E192" s="65"/>
      <c r="F192" s="67"/>
      <c r="G192" s="67"/>
      <c r="H192" s="67"/>
      <c r="I192" s="67"/>
      <c r="J192" s="67"/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/>
      <c r="E195" s="65"/>
      <c r="F195" s="67"/>
      <c r="G195" s="67"/>
      <c r="H195" s="67"/>
      <c r="I195" s="67"/>
      <c r="J195" s="67"/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/>
      <c r="E196" s="65"/>
      <c r="F196" s="67"/>
      <c r="G196" s="67"/>
      <c r="H196" s="67"/>
      <c r="I196" s="67"/>
      <c r="J196" s="67"/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/>
      <c r="E198" s="65"/>
      <c r="F198" s="67"/>
      <c r="G198" s="67"/>
      <c r="H198" s="67"/>
      <c r="I198" s="67"/>
      <c r="J198" s="67"/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/>
      <c r="E201" s="65"/>
      <c r="F201" s="67"/>
      <c r="G201" s="67"/>
      <c r="H201" s="67"/>
      <c r="I201" s="67"/>
      <c r="J201" s="67"/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/>
      <c r="E202" s="65"/>
      <c r="F202" s="67"/>
      <c r="G202" s="67"/>
      <c r="H202" s="67"/>
      <c r="I202" s="67"/>
      <c r="J202" s="67"/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/>
      <c r="E203" s="65"/>
      <c r="F203" s="67"/>
      <c r="G203" s="67"/>
      <c r="H203" s="67"/>
      <c r="I203" s="67"/>
      <c r="J203" s="67"/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/>
      <c r="E204" s="65"/>
      <c r="F204" s="67"/>
      <c r="G204" s="67"/>
      <c r="H204" s="67"/>
      <c r="I204" s="67"/>
      <c r="J204" s="67"/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/>
      <c r="E205" s="65"/>
      <c r="F205" s="67"/>
      <c r="G205" s="67"/>
      <c r="H205" s="67"/>
      <c r="I205" s="67"/>
      <c r="J205" s="67"/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/>
      <c r="E208" s="65"/>
      <c r="F208" s="67"/>
      <c r="G208" s="67"/>
      <c r="H208" s="67"/>
      <c r="I208" s="67"/>
      <c r="J208" s="67"/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/>
      <c r="E209" s="65"/>
      <c r="F209" s="67"/>
      <c r="G209" s="67"/>
      <c r="H209" s="67"/>
      <c r="I209" s="67"/>
      <c r="J209" s="67"/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/>
      <c r="E210" s="65"/>
      <c r="F210" s="67"/>
      <c r="G210" s="67"/>
      <c r="H210" s="67"/>
      <c r="I210" s="67"/>
      <c r="J210" s="67"/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/>
      <c r="E212" s="65"/>
      <c r="F212" s="67"/>
      <c r="G212" s="67"/>
      <c r="H212" s="67"/>
      <c r="I212" s="67"/>
      <c r="J212" s="67"/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/>
      <c r="E213" s="65"/>
      <c r="F213" s="67"/>
      <c r="G213" s="67"/>
      <c r="H213" s="67"/>
      <c r="I213" s="67"/>
      <c r="J213" s="67"/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9" spans="1:16" ht="15">
      <c r="B219" s="71" t="s">
        <v>44</v>
      </c>
      <c r="C219" s="71"/>
      <c r="D219" s="1">
        <f>SUM(D185:D216)</f>
        <v>0</v>
      </c>
      <c r="E219" s="1">
        <f t="shared" ref="E219:K219" si="12">SUM(E185:E216)</f>
        <v>0</v>
      </c>
      <c r="F219" s="1">
        <f t="shared" si="12"/>
        <v>0</v>
      </c>
      <c r="G219" s="1">
        <f t="shared" si="12"/>
        <v>0</v>
      </c>
      <c r="H219" s="1">
        <f t="shared" si="12"/>
        <v>0</v>
      </c>
      <c r="I219" s="1">
        <f t="shared" si="12"/>
        <v>0</v>
      </c>
      <c r="J219" s="1">
        <f t="shared" si="12"/>
        <v>0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C220" s="64"/>
      <c r="D220" s="1">
        <f>COUNT(D185:D217)*5</f>
        <v>0</v>
      </c>
      <c r="E220" s="1">
        <f t="shared" ref="E220:K220" si="13">COUNT(E185:E217)*5</f>
        <v>0</v>
      </c>
      <c r="F220" s="1">
        <f t="shared" si="13"/>
        <v>0</v>
      </c>
      <c r="G220" s="1">
        <f t="shared" si="13"/>
        <v>0</v>
      </c>
      <c r="H220" s="1">
        <f t="shared" si="13"/>
        <v>0</v>
      </c>
      <c r="I220" s="1">
        <f t="shared" si="13"/>
        <v>0</v>
      </c>
      <c r="J220" s="1">
        <f t="shared" si="13"/>
        <v>0</v>
      </c>
      <c r="K220" s="1">
        <f t="shared" si="13"/>
        <v>0</v>
      </c>
      <c r="M220" s="18" t="e">
        <f>(D221+F221+H221+J221)/4</f>
        <v>#DIV/0!</v>
      </c>
      <c r="N220" s="18" t="e">
        <f>(E221+G221+I221+K221)/4</f>
        <v>#DIV/0!</v>
      </c>
    </row>
    <row r="221" spans="1:16" ht="15">
      <c r="C221" s="2" t="s">
        <v>45</v>
      </c>
      <c r="D221" s="11" t="e">
        <f>D219/D220</f>
        <v>#DIV/0!</v>
      </c>
      <c r="E221" s="11" t="e">
        <f t="shared" ref="E221:K221" si="14">E219/E220</f>
        <v>#DIV/0!</v>
      </c>
      <c r="F221" s="11" t="e">
        <f t="shared" si="14"/>
        <v>#DIV/0!</v>
      </c>
      <c r="G221" s="11" t="e">
        <f t="shared" si="14"/>
        <v>#DIV/0!</v>
      </c>
      <c r="H221" s="11" t="e">
        <f t="shared" si="14"/>
        <v>#DIV/0!</v>
      </c>
      <c r="I221" s="11" t="e">
        <f t="shared" si="14"/>
        <v>#DIV/0!</v>
      </c>
      <c r="J221" s="11" t="e">
        <f t="shared" si="14"/>
        <v>#DIV/0!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/>
      <c r="E255" s="65"/>
      <c r="F255" s="65"/>
      <c r="G255" s="65"/>
      <c r="H255" s="65"/>
      <c r="I255" s="65"/>
      <c r="J255" s="65"/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>
        <v>4</v>
      </c>
      <c r="E258" s="65"/>
      <c r="F258" s="65">
        <v>4</v>
      </c>
      <c r="G258" s="65"/>
      <c r="H258" s="65">
        <v>4</v>
      </c>
      <c r="I258" s="65"/>
      <c r="J258" s="65">
        <v>4</v>
      </c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D260" s="64"/>
      <c r="E260" s="64"/>
      <c r="F260" s="64"/>
      <c r="G260" s="64"/>
      <c r="H260" s="64"/>
      <c r="I260" s="64"/>
      <c r="J260" s="64"/>
      <c r="K260" s="64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/>
      <c r="E297" s="56"/>
      <c r="F297" s="56"/>
      <c r="G297" s="56"/>
      <c r="H297" s="56"/>
      <c r="I297" s="56"/>
      <c r="J297" s="56"/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>
        <v>4</v>
      </c>
      <c r="E300" s="56"/>
      <c r="F300" s="56">
        <v>4</v>
      </c>
      <c r="G300" s="56"/>
      <c r="H300" s="56">
        <v>4</v>
      </c>
      <c r="I300" s="56"/>
      <c r="J300" s="56">
        <v>4</v>
      </c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3" spans="1:16" ht="15">
      <c r="B303" s="71" t="s">
        <v>44</v>
      </c>
      <c r="C303" s="71"/>
      <c r="D303" s="1">
        <f>SUM(D269:D300)</f>
        <v>72</v>
      </c>
      <c r="E303" s="1">
        <f t="shared" ref="E303:K303" si="18">SUM(E269:E300)</f>
        <v>0</v>
      </c>
      <c r="F303" s="1">
        <f t="shared" si="18"/>
        <v>72</v>
      </c>
      <c r="G303" s="1">
        <f t="shared" si="18"/>
        <v>0</v>
      </c>
      <c r="H303" s="1">
        <f t="shared" si="18"/>
        <v>72</v>
      </c>
      <c r="I303" s="1">
        <f t="shared" si="18"/>
        <v>0</v>
      </c>
      <c r="J303" s="1">
        <f t="shared" si="18"/>
        <v>72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C304" s="64"/>
      <c r="D304" s="1">
        <f>COUNT(D269:D301)*5</f>
        <v>90</v>
      </c>
      <c r="E304" s="1">
        <f t="shared" ref="E304:K304" si="19">COUNT(E269:E301)*5</f>
        <v>0</v>
      </c>
      <c r="F304" s="1">
        <f t="shared" si="19"/>
        <v>90</v>
      </c>
      <c r="G304" s="1">
        <f t="shared" si="19"/>
        <v>0</v>
      </c>
      <c r="H304" s="1">
        <f t="shared" si="19"/>
        <v>90</v>
      </c>
      <c r="I304" s="1">
        <f t="shared" si="19"/>
        <v>0</v>
      </c>
      <c r="J304" s="1">
        <f t="shared" si="19"/>
        <v>90</v>
      </c>
      <c r="K304" s="1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C305" s="2" t="s">
        <v>45</v>
      </c>
      <c r="D305" s="11">
        <f>D303/D304</f>
        <v>0.8</v>
      </c>
      <c r="E305" s="11" t="e">
        <f t="shared" ref="E305:K305" si="20">E303/E304</f>
        <v>#DIV/0!</v>
      </c>
      <c r="F305" s="11">
        <f t="shared" si="20"/>
        <v>0.8</v>
      </c>
      <c r="G305" s="11" t="e">
        <f t="shared" si="20"/>
        <v>#DIV/0!</v>
      </c>
      <c r="H305" s="11">
        <f t="shared" si="20"/>
        <v>0.8</v>
      </c>
      <c r="I305" s="11" t="e">
        <f t="shared" si="20"/>
        <v>#DIV/0!</v>
      </c>
      <c r="J305" s="11">
        <f t="shared" si="20"/>
        <v>0.8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>
        <v>46236</v>
      </c>
      <c r="E308" s="46"/>
      <c r="F308" s="46">
        <v>46243</v>
      </c>
      <c r="G308" s="46"/>
      <c r="H308" s="46">
        <v>46250</v>
      </c>
      <c r="I308" s="46"/>
      <c r="J308" s="46">
        <v>46257</v>
      </c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7"/>
      <c r="F310" s="7" t="s">
        <v>90</v>
      </c>
      <c r="G310" s="7"/>
      <c r="H310" s="7" t="s">
        <v>90</v>
      </c>
      <c r="I310" s="7"/>
      <c r="J310" s="7" t="s">
        <v>90</v>
      </c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65"/>
      <c r="F311" s="65">
        <v>4</v>
      </c>
      <c r="G311" s="65"/>
      <c r="H311" s="65">
        <v>4</v>
      </c>
      <c r="I311" s="65"/>
      <c r="J311" s="65">
        <v>4</v>
      </c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65"/>
      <c r="F313" s="65">
        <v>4</v>
      </c>
      <c r="G313" s="65"/>
      <c r="H313" s="65">
        <v>4</v>
      </c>
      <c r="I313" s="65"/>
      <c r="J313" s="65">
        <v>4</v>
      </c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65"/>
      <c r="F316" s="65">
        <v>4</v>
      </c>
      <c r="G316" s="65"/>
      <c r="H316" s="65">
        <v>4</v>
      </c>
      <c r="I316" s="65"/>
      <c r="J316" s="65">
        <v>4</v>
      </c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65"/>
      <c r="F317" s="65">
        <v>4</v>
      </c>
      <c r="G317" s="65"/>
      <c r="H317" s="65">
        <v>4</v>
      </c>
      <c r="I317" s="65"/>
      <c r="J317" s="65">
        <v>4</v>
      </c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65"/>
      <c r="F318" s="65">
        <v>4</v>
      </c>
      <c r="G318" s="65"/>
      <c r="H318" s="65">
        <v>4</v>
      </c>
      <c r="I318" s="65"/>
      <c r="J318" s="65">
        <v>4</v>
      </c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65"/>
      <c r="F321" s="65">
        <v>4</v>
      </c>
      <c r="G321" s="65"/>
      <c r="H321" s="65">
        <v>4</v>
      </c>
      <c r="I321" s="65"/>
      <c r="J321" s="65">
        <v>4</v>
      </c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65"/>
      <c r="F322" s="65">
        <v>4</v>
      </c>
      <c r="G322" s="65"/>
      <c r="H322" s="65">
        <v>4</v>
      </c>
      <c r="I322" s="65"/>
      <c r="J322" s="65">
        <v>4</v>
      </c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65"/>
      <c r="F324" s="65">
        <v>4</v>
      </c>
      <c r="G324" s="65"/>
      <c r="H324" s="65">
        <v>4</v>
      </c>
      <c r="I324" s="65"/>
      <c r="J324" s="65">
        <v>4</v>
      </c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65"/>
      <c r="F327" s="65">
        <v>4</v>
      </c>
      <c r="G327" s="65"/>
      <c r="H327" s="65">
        <v>4</v>
      </c>
      <c r="I327" s="65"/>
      <c r="J327" s="65">
        <v>4</v>
      </c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65"/>
      <c r="F328" s="65">
        <v>4</v>
      </c>
      <c r="G328" s="65"/>
      <c r="H328" s="65">
        <v>4</v>
      </c>
      <c r="I328" s="65"/>
      <c r="J328" s="65">
        <v>4</v>
      </c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65"/>
      <c r="F329" s="65">
        <v>4</v>
      </c>
      <c r="G329" s="65"/>
      <c r="H329" s="65">
        <v>4</v>
      </c>
      <c r="I329" s="65"/>
      <c r="J329" s="65">
        <v>4</v>
      </c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65"/>
      <c r="F330" s="65">
        <v>4</v>
      </c>
      <c r="G330" s="65"/>
      <c r="H330" s="65">
        <v>4</v>
      </c>
      <c r="I330" s="65"/>
      <c r="J330" s="65">
        <v>4</v>
      </c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65"/>
      <c r="F331" s="65">
        <v>4</v>
      </c>
      <c r="G331" s="65"/>
      <c r="H331" s="65">
        <v>4</v>
      </c>
      <c r="I331" s="65"/>
      <c r="J331" s="65">
        <v>4</v>
      </c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65"/>
      <c r="F334" s="65">
        <v>4</v>
      </c>
      <c r="G334" s="65"/>
      <c r="H334" s="65">
        <v>4</v>
      </c>
      <c r="I334" s="65"/>
      <c r="J334" s="65">
        <v>4</v>
      </c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65"/>
      <c r="F335" s="65">
        <v>4</v>
      </c>
      <c r="G335" s="65"/>
      <c r="H335" s="65">
        <v>4</v>
      </c>
      <c r="I335" s="65"/>
      <c r="J335" s="65">
        <v>4</v>
      </c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65"/>
      <c r="F336" s="65">
        <v>4</v>
      </c>
      <c r="G336" s="65"/>
      <c r="H336" s="65">
        <v>4</v>
      </c>
      <c r="I336" s="65"/>
      <c r="J336" s="65">
        <v>4</v>
      </c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65"/>
      <c r="F338" s="65">
        <v>4</v>
      </c>
      <c r="G338" s="65"/>
      <c r="H338" s="65">
        <v>4</v>
      </c>
      <c r="I338" s="65"/>
      <c r="J338" s="65">
        <v>4</v>
      </c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/>
      <c r="E339" s="65"/>
      <c r="F339" s="65"/>
      <c r="G339" s="65"/>
      <c r="H339" s="65"/>
      <c r="I339" s="65"/>
      <c r="J339" s="65"/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>
        <v>4</v>
      </c>
      <c r="E342" s="65"/>
      <c r="F342" s="65">
        <v>4</v>
      </c>
      <c r="G342" s="65"/>
      <c r="H342" s="65">
        <v>4</v>
      </c>
      <c r="I342" s="65"/>
      <c r="J342" s="65">
        <v>4</v>
      </c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</mergeCells>
  <hyperlinks>
    <hyperlink ref="B2" location="'ALL STAFF'!A1" display="&lt;BACK" xr:uid="{8B3F5C2E-9449-4AB5-B362-14AD63A3AE53}"/>
    <hyperlink ref="C13" location="'ALL STAFF'!A1" display="&lt;BACK" xr:uid="{7BD3C673-A8B6-4A5E-A0C9-E5F34CD1B534}"/>
    <hyperlink ref="C55" location="'ALL STAFF'!A1" display="&lt;BACK" xr:uid="{499FB5A0-109F-4AC4-8BB1-A6B4401C3AFC}"/>
    <hyperlink ref="C97" location="'ALL STAFF'!A1" display="&lt;BACK" xr:uid="{F2253B7E-63DC-4606-8708-04234D3C97FD}"/>
    <hyperlink ref="C139" location="'ALL STAFF'!A1" display="&lt;BACK" xr:uid="{C3260E2D-621C-4B7C-BF48-05919EFA284C}"/>
    <hyperlink ref="C181" location="'ALL STAFF'!A1" display="&lt;BACK" xr:uid="{91DE1B7F-098F-4FD6-8470-F26A62E4E8B2}"/>
    <hyperlink ref="C223" location="'ALL STAFF'!A1" display="&lt;BACK" xr:uid="{91FDF76C-3394-4240-92E6-BC76C663C064}"/>
    <hyperlink ref="C265" location="'ALL STAFF'!A1" display="&lt;BACK" xr:uid="{38229C02-C7A1-486E-9A56-629A85A15DF5}"/>
    <hyperlink ref="C307" location="'ALL STAFF'!A1" display="&lt;BACK" xr:uid="{8445C6E2-F811-4FB9-B790-7C178A840F5C}"/>
    <hyperlink ref="C349" location="'ALL STAFF'!A1" display="&lt;BACK" xr:uid="{7D5AC555-70CB-4C45-9174-04BC978C7ED3}"/>
    <hyperlink ref="C391" location="'ALL STAFF'!A1" display="&lt;BACK" xr:uid="{CFE090FF-DF64-4571-AF00-7FA2F891C160}"/>
    <hyperlink ref="C433" location="'ALL STAFF'!A1" display="&lt;BACK" xr:uid="{0115B4F5-0074-4AE6-8EBF-90F8A467BA03}"/>
    <hyperlink ref="C475" location="'ALL STAFF'!A1" display="&lt;BACK" xr:uid="{EF021A6A-AC91-4C17-8F65-8EFF54A81C7E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7EAD1C-13E8-4399-9A38-7F43152ECA9F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9CD3-7087-437C-A6DD-833DFA814AC2}">
  <sheetPr codeName="Sheet6"/>
  <dimension ref="A1:T515"/>
  <sheetViews>
    <sheetView topLeftCell="A356" zoomScale="80" zoomScaleNormal="80" workbookViewId="0">
      <selection activeCell="I367" sqref="I367"/>
    </sheetView>
  </sheetViews>
  <sheetFormatPr defaultRowHeight="14.25"/>
  <cols>
    <col min="1" max="1" width="5" customWidth="1"/>
    <col min="2" max="2" width="52.625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23" t="s">
        <v>6</v>
      </c>
      <c r="R2" s="20">
        <v>46023</v>
      </c>
      <c r="S2" s="21" t="e">
        <f>M52</f>
        <v>#DIV/0!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 t="e">
        <f>M178</f>
        <v>#DIV/0!</v>
      </c>
      <c r="T5" s="21" t="e">
        <f>N178</f>
        <v>#DIV/0!</v>
      </c>
    </row>
    <row r="6" spans="1:20" ht="15">
      <c r="A6" s="27">
        <v>3</v>
      </c>
      <c r="R6" s="20">
        <v>46143</v>
      </c>
      <c r="S6" s="21" t="e">
        <f>M220</f>
        <v>#DIV/0!</v>
      </c>
      <c r="T6" s="21" t="e">
        <f>N220</f>
        <v>#DIV/0!</v>
      </c>
    </row>
    <row r="7" spans="1:20" ht="15">
      <c r="A7" s="27">
        <v>4</v>
      </c>
      <c r="R7" s="20">
        <v>46174</v>
      </c>
      <c r="S7" s="21" t="e">
        <f>M262</f>
        <v>#DIV/0!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 t="e">
        <f>M304</f>
        <v>#DIV/0!</v>
      </c>
      <c r="T8" s="21" t="e">
        <f>N304</f>
        <v>#DIV/0!</v>
      </c>
    </row>
    <row r="9" spans="1:20" ht="15">
      <c r="R9" s="20">
        <v>46235</v>
      </c>
      <c r="S9" s="21" t="e">
        <f>M346</f>
        <v>#DIV/0!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/>
      <c r="E14" s="46"/>
      <c r="F14" s="46"/>
      <c r="G14" s="46"/>
      <c r="H14" s="46"/>
      <c r="I14" s="46"/>
      <c r="J14" s="46"/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/>
      <c r="E16" s="7"/>
      <c r="F16" s="7"/>
      <c r="G16" s="7"/>
      <c r="H16" s="7"/>
      <c r="I16" s="7"/>
      <c r="J16" s="7"/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/>
      <c r="E17" s="67"/>
      <c r="F17" s="67"/>
      <c r="G17" s="67"/>
      <c r="H17" s="67"/>
      <c r="I17" s="67"/>
      <c r="J17" s="67"/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/>
      <c r="E19" s="67"/>
      <c r="F19" s="67"/>
      <c r="G19" s="67"/>
      <c r="H19" s="67"/>
      <c r="I19" s="67"/>
      <c r="J19" s="67"/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/>
      <c r="E22" s="67"/>
      <c r="F22" s="67"/>
      <c r="G22" s="67"/>
      <c r="H22" s="67"/>
      <c r="I22" s="67"/>
      <c r="J22" s="67"/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/>
      <c r="E23" s="67"/>
      <c r="F23" s="67"/>
      <c r="G23" s="67"/>
      <c r="H23" s="67"/>
      <c r="I23" s="67"/>
      <c r="J23" s="67"/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/>
      <c r="E24" s="67"/>
      <c r="F24" s="67"/>
      <c r="G24" s="67"/>
      <c r="H24" s="67"/>
      <c r="I24" s="67"/>
      <c r="J24" s="67"/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/>
      <c r="E27" s="67"/>
      <c r="F27" s="67"/>
      <c r="G27" s="67"/>
      <c r="H27" s="67"/>
      <c r="I27" s="67"/>
      <c r="J27" s="67"/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/>
      <c r="E28" s="67"/>
      <c r="F28" s="67"/>
      <c r="G28" s="67"/>
      <c r="H28" s="67"/>
      <c r="I28" s="67"/>
      <c r="J28" s="67"/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/>
      <c r="E30" s="67"/>
      <c r="F30" s="67"/>
      <c r="G30" s="67"/>
      <c r="H30" s="67"/>
      <c r="I30" s="67"/>
      <c r="J30" s="67"/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/>
      <c r="E33" s="67"/>
      <c r="F33" s="67"/>
      <c r="G33" s="67"/>
      <c r="H33" s="67"/>
      <c r="I33" s="67"/>
      <c r="J33" s="67"/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/>
      <c r="E34" s="67"/>
      <c r="F34" s="67"/>
      <c r="G34" s="67"/>
      <c r="H34" s="67"/>
      <c r="I34" s="67"/>
      <c r="J34" s="67"/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/>
      <c r="E35" s="67"/>
      <c r="F35" s="67"/>
      <c r="G35" s="67"/>
      <c r="H35" s="67"/>
      <c r="I35" s="67"/>
      <c r="J35" s="67"/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/>
      <c r="E36" s="67"/>
      <c r="F36" s="67"/>
      <c r="G36" s="67"/>
      <c r="H36" s="67"/>
      <c r="I36" s="67"/>
      <c r="J36" s="67"/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/>
      <c r="E37" s="67"/>
      <c r="F37" s="67"/>
      <c r="G37" s="67"/>
      <c r="H37" s="67"/>
      <c r="I37" s="67"/>
      <c r="J37" s="67"/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/>
      <c r="E40" s="67"/>
      <c r="F40" s="67"/>
      <c r="G40" s="67"/>
      <c r="H40" s="67"/>
      <c r="I40" s="67"/>
      <c r="J40" s="67"/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/>
      <c r="E41" s="67"/>
      <c r="F41" s="67"/>
      <c r="G41" s="67"/>
      <c r="H41" s="67"/>
      <c r="I41" s="67"/>
      <c r="J41" s="67"/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/>
      <c r="E42" s="67"/>
      <c r="F42" s="67"/>
      <c r="G42" s="67"/>
      <c r="H42" s="67"/>
      <c r="I42" s="67"/>
      <c r="J42" s="67"/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/>
      <c r="E44" s="67"/>
      <c r="F44" s="67"/>
      <c r="G44" s="67"/>
      <c r="H44" s="67"/>
      <c r="I44" s="67"/>
      <c r="J44" s="67"/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/>
      <c r="E45" s="67"/>
      <c r="F45" s="67"/>
      <c r="G45" s="67"/>
      <c r="H45" s="67"/>
      <c r="I45" s="67"/>
      <c r="J45" s="67"/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/>
      <c r="E48" s="67"/>
      <c r="F48" s="67"/>
      <c r="G48" s="67"/>
      <c r="H48" s="67"/>
      <c r="I48" s="67"/>
      <c r="J48" s="67"/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1" spans="1:16" ht="15">
      <c r="B51" s="71" t="s">
        <v>44</v>
      </c>
      <c r="C51" s="71"/>
      <c r="D51" s="1">
        <f>SUM(D17:D48)</f>
        <v>0</v>
      </c>
      <c r="E51" s="1">
        <f t="shared" ref="E51:K51" si="0">SUM(E17:E48)</f>
        <v>0</v>
      </c>
      <c r="F51" s="1">
        <f t="shared" si="0"/>
        <v>0</v>
      </c>
      <c r="G51" s="1">
        <f t="shared" si="0"/>
        <v>0</v>
      </c>
      <c r="H51" s="1">
        <f t="shared" si="0"/>
        <v>0</v>
      </c>
      <c r="I51" s="1">
        <f t="shared" si="0"/>
        <v>0</v>
      </c>
      <c r="J51" s="1">
        <f t="shared" si="0"/>
        <v>0</v>
      </c>
      <c r="K51" s="1">
        <f t="shared" si="0"/>
        <v>0</v>
      </c>
      <c r="M51" s="17" t="s">
        <v>2</v>
      </c>
      <c r="N51" s="17" t="s">
        <v>3</v>
      </c>
    </row>
    <row r="52" spans="1:16" ht="15">
      <c r="C52" s="64"/>
      <c r="D52" s="1">
        <f>COUNT(D17:D49)*5</f>
        <v>0</v>
      </c>
      <c r="E52" s="1">
        <f t="shared" ref="E52:K52" si="1">COUNT(E17:E49)*5</f>
        <v>0</v>
      </c>
      <c r="F52" s="1">
        <f t="shared" si="1"/>
        <v>0</v>
      </c>
      <c r="G52" s="1">
        <f t="shared" si="1"/>
        <v>0</v>
      </c>
      <c r="H52" s="1">
        <f t="shared" si="1"/>
        <v>0</v>
      </c>
      <c r="I52" s="1">
        <f t="shared" si="1"/>
        <v>0</v>
      </c>
      <c r="J52" s="1">
        <f t="shared" si="1"/>
        <v>0</v>
      </c>
      <c r="K52" s="1">
        <f t="shared" si="1"/>
        <v>0</v>
      </c>
      <c r="M52" s="18" t="e">
        <f>(D53+F53+H53+J53)/4</f>
        <v>#DIV/0!</v>
      </c>
      <c r="N52" s="18" t="e">
        <f>(E53+G53+I53+K53)/4</f>
        <v>#DIV/0!</v>
      </c>
    </row>
    <row r="53" spans="1:16" ht="15">
      <c r="C53" s="2" t="s">
        <v>45</v>
      </c>
      <c r="D53" s="11" t="e">
        <f>D51/D52</f>
        <v>#DIV/0!</v>
      </c>
      <c r="E53" s="11" t="e">
        <f t="shared" ref="E53:K53" si="2">E51/E52</f>
        <v>#DIV/0!</v>
      </c>
      <c r="F53" s="11" t="e">
        <f t="shared" si="2"/>
        <v>#DIV/0!</v>
      </c>
      <c r="G53" s="11" t="e">
        <f t="shared" si="2"/>
        <v>#DIV/0!</v>
      </c>
      <c r="H53" s="11" t="e">
        <f t="shared" si="2"/>
        <v>#DIV/0!</v>
      </c>
      <c r="I53" s="11" t="e">
        <f t="shared" si="2"/>
        <v>#DIV/0!</v>
      </c>
      <c r="J53" s="11" t="e">
        <f t="shared" si="2"/>
        <v>#DIV/0!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/>
      <c r="E56" s="29"/>
      <c r="F56" s="29"/>
      <c r="G56" s="29"/>
      <c r="H56" s="29"/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/>
      <c r="E58" s="6"/>
      <c r="F58" s="6"/>
      <c r="G58" s="6"/>
      <c r="H58" s="6"/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/>
      <c r="E59" s="8"/>
      <c r="F59" s="8"/>
      <c r="G59" s="8"/>
      <c r="H59" s="8"/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/>
      <c r="E61" s="8"/>
      <c r="F61" s="8"/>
      <c r="G61" s="8"/>
      <c r="H61" s="8"/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/>
      <c r="E64" s="8"/>
      <c r="F64" s="8"/>
      <c r="G64" s="8"/>
      <c r="H64" s="8"/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/>
      <c r="E65" s="8"/>
      <c r="F65" s="8"/>
      <c r="G65" s="8"/>
      <c r="H65" s="8"/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/>
      <c r="E66" s="8"/>
      <c r="F66" s="8"/>
      <c r="G66" s="8"/>
      <c r="H66" s="8"/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/>
      <c r="E69" s="8"/>
      <c r="F69" s="8"/>
      <c r="G69" s="8"/>
      <c r="H69" s="8"/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/>
      <c r="E70" s="8"/>
      <c r="F70" s="8"/>
      <c r="G70" s="8"/>
      <c r="H70" s="8"/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/>
      <c r="E72" s="8"/>
      <c r="F72" s="8"/>
      <c r="G72" s="8"/>
      <c r="H72" s="8"/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/>
      <c r="E75" s="8"/>
      <c r="F75" s="8"/>
      <c r="G75" s="8"/>
      <c r="H75" s="8"/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/>
      <c r="E76" s="8"/>
      <c r="F76" s="8"/>
      <c r="G76" s="8"/>
      <c r="H76" s="8"/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/>
      <c r="E77" s="8"/>
      <c r="F77" s="8"/>
      <c r="G77" s="8"/>
      <c r="H77" s="8"/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/>
      <c r="E78" s="8"/>
      <c r="F78" s="8"/>
      <c r="G78" s="8"/>
      <c r="H78" s="8"/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/>
      <c r="E79" s="8"/>
      <c r="F79" s="8"/>
      <c r="G79" s="8"/>
      <c r="H79" s="8"/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/>
      <c r="E82" s="8"/>
      <c r="F82" s="8"/>
      <c r="G82" s="8"/>
      <c r="H82" s="8"/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/>
      <c r="E83" s="8"/>
      <c r="F83" s="8"/>
      <c r="G83" s="8"/>
      <c r="H83" s="8"/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/>
      <c r="E84" s="8"/>
      <c r="F84" s="8"/>
      <c r="G84" s="8"/>
      <c r="H84" s="8"/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/>
      <c r="E86" s="8"/>
      <c r="F86" s="8"/>
      <c r="G86" s="8"/>
      <c r="H86" s="8"/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/>
      <c r="E90" s="8"/>
      <c r="F90" s="8"/>
      <c r="G90" s="8"/>
      <c r="H90" s="8"/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3" spans="1:16" ht="15">
      <c r="B93" s="71" t="s">
        <v>44</v>
      </c>
      <c r="C93" s="71"/>
      <c r="D93" s="1">
        <f>SUM(D59:D90)</f>
        <v>0</v>
      </c>
      <c r="E93" s="1">
        <f t="shared" ref="E93:K93" si="3">SUM(E59:E90)</f>
        <v>0</v>
      </c>
      <c r="F93" s="1">
        <f t="shared" si="3"/>
        <v>0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C94" s="64"/>
      <c r="D94" s="1">
        <f>COUNT(D59:D91)*5</f>
        <v>0</v>
      </c>
      <c r="E94" s="1">
        <f t="shared" ref="E94:K94" si="4">COUNT(E59:E91)*5</f>
        <v>0</v>
      </c>
      <c r="F94" s="1">
        <f t="shared" si="4"/>
        <v>0</v>
      </c>
      <c r="G94" s="1">
        <f t="shared" si="4"/>
        <v>0</v>
      </c>
      <c r="H94" s="1">
        <f t="shared" si="4"/>
        <v>0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C95" s="2" t="s">
        <v>45</v>
      </c>
      <c r="D95" s="11" t="e">
        <f>D93/D94</f>
        <v>#DIV/0!</v>
      </c>
      <c r="E95" s="11" t="e">
        <f t="shared" ref="E95:K95" si="5">E93/E94</f>
        <v>#DIV/0!</v>
      </c>
      <c r="F95" s="11" t="e">
        <f t="shared" si="5"/>
        <v>#DIV/0!</v>
      </c>
      <c r="G95" s="11" t="e">
        <f t="shared" si="5"/>
        <v>#DIV/0!</v>
      </c>
      <c r="H95" s="11" t="e">
        <f t="shared" si="5"/>
        <v>#DIV/0!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/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/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/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/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/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/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/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/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/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/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/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/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/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/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/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/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/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/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/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/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/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5" spans="1:16" ht="15">
      <c r="B135" s="71" t="s">
        <v>44</v>
      </c>
      <c r="C135" s="71"/>
      <c r="D135" s="1">
        <f>SUM(D101:D132)</f>
        <v>0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C136" s="64"/>
      <c r="D136" s="1">
        <f>COUNT(D101:D133)*5</f>
        <v>0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C137" s="2" t="s">
        <v>45</v>
      </c>
      <c r="D137" s="11" t="e">
        <f>D135/D136</f>
        <v>#DIV/0!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/>
      <c r="E140" s="29"/>
      <c r="F140" s="42"/>
      <c r="G140" s="42"/>
      <c r="H140" s="42"/>
      <c r="I140" s="42"/>
      <c r="J140" s="42"/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/>
      <c r="E142" s="6"/>
      <c r="F142" s="38"/>
      <c r="G142" s="38"/>
      <c r="H142" s="38"/>
      <c r="I142" s="38"/>
      <c r="J142" s="38"/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/>
      <c r="E143" s="8"/>
      <c r="F143" s="67"/>
      <c r="G143" s="67"/>
      <c r="H143" s="67"/>
      <c r="I143" s="67"/>
      <c r="J143" s="67"/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/>
      <c r="E145" s="8"/>
      <c r="F145" s="67"/>
      <c r="G145" s="67"/>
      <c r="H145" s="67"/>
      <c r="I145" s="67"/>
      <c r="J145" s="67"/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/>
      <c r="E148" s="8"/>
      <c r="F148" s="67"/>
      <c r="G148" s="67"/>
      <c r="H148" s="67"/>
      <c r="I148" s="67"/>
      <c r="J148" s="67"/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/>
      <c r="E149" s="8"/>
      <c r="F149" s="67"/>
      <c r="G149" s="67"/>
      <c r="H149" s="67"/>
      <c r="I149" s="67"/>
      <c r="J149" s="67"/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/>
      <c r="E150" s="8"/>
      <c r="F150" s="67"/>
      <c r="G150" s="67"/>
      <c r="H150" s="67"/>
      <c r="I150" s="67"/>
      <c r="J150" s="67"/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/>
      <c r="E153" s="8"/>
      <c r="F153" s="67"/>
      <c r="G153" s="67"/>
      <c r="H153" s="67"/>
      <c r="I153" s="67"/>
      <c r="J153" s="67"/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/>
      <c r="E154" s="8"/>
      <c r="F154" s="67"/>
      <c r="G154" s="67"/>
      <c r="H154" s="67"/>
      <c r="I154" s="67"/>
      <c r="J154" s="67"/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/>
      <c r="E156" s="8"/>
      <c r="F156" s="67"/>
      <c r="G156" s="67"/>
      <c r="H156" s="67"/>
      <c r="I156" s="67"/>
      <c r="J156" s="67"/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/>
      <c r="E159" s="8"/>
      <c r="F159" s="67"/>
      <c r="G159" s="67"/>
      <c r="H159" s="67"/>
      <c r="I159" s="67"/>
      <c r="J159" s="67"/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/>
      <c r="E160" s="8"/>
      <c r="F160" s="67"/>
      <c r="G160" s="67"/>
      <c r="H160" s="67"/>
      <c r="I160" s="67"/>
      <c r="J160" s="67"/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/>
      <c r="E161" s="8"/>
      <c r="F161" s="67"/>
      <c r="G161" s="67"/>
      <c r="H161" s="67"/>
      <c r="I161" s="67"/>
      <c r="J161" s="67"/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/>
      <c r="E162" s="8"/>
      <c r="F162" s="67"/>
      <c r="G162" s="67"/>
      <c r="H162" s="67"/>
      <c r="I162" s="67"/>
      <c r="J162" s="67"/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/>
      <c r="E163" s="8"/>
      <c r="F163" s="67"/>
      <c r="G163" s="67"/>
      <c r="H163" s="67"/>
      <c r="I163" s="67"/>
      <c r="J163" s="67"/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/>
      <c r="E166" s="8"/>
      <c r="F166" s="67"/>
      <c r="G166" s="67"/>
      <c r="H166" s="67"/>
      <c r="I166" s="67"/>
      <c r="J166" s="67"/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/>
      <c r="E167" s="8"/>
      <c r="F167" s="67"/>
      <c r="G167" s="67"/>
      <c r="H167" s="67"/>
      <c r="I167" s="67"/>
      <c r="J167" s="67"/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/>
      <c r="E168" s="8"/>
      <c r="F168" s="67"/>
      <c r="G168" s="67"/>
      <c r="H168" s="67"/>
      <c r="I168" s="67"/>
      <c r="J168" s="67"/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/>
      <c r="E170" s="8"/>
      <c r="F170" s="67"/>
      <c r="G170" s="67"/>
      <c r="H170" s="67"/>
      <c r="I170" s="67"/>
      <c r="J170" s="67"/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/>
      <c r="E171" s="8"/>
      <c r="F171" s="67"/>
      <c r="G171" s="67"/>
      <c r="H171" s="67"/>
      <c r="I171" s="67"/>
      <c r="J171" s="67"/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7" spans="1:16" ht="15">
      <c r="B177" s="71" t="s">
        <v>44</v>
      </c>
      <c r="C177" s="71"/>
      <c r="D177" s="1">
        <f>SUM(D143:D174)</f>
        <v>0</v>
      </c>
      <c r="E177" s="1">
        <f t="shared" ref="E177:K177" si="9">SUM(E143:E174)</f>
        <v>0</v>
      </c>
      <c r="F177" s="1">
        <f t="shared" si="9"/>
        <v>0</v>
      </c>
      <c r="G177" s="1">
        <f t="shared" si="9"/>
        <v>0</v>
      </c>
      <c r="H177" s="1">
        <f t="shared" si="9"/>
        <v>0</v>
      </c>
      <c r="I177" s="1">
        <f t="shared" si="9"/>
        <v>0</v>
      </c>
      <c r="J177" s="1">
        <f t="shared" si="9"/>
        <v>0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C178" s="64"/>
      <c r="D178" s="1">
        <f>COUNT(D143:D175)*5</f>
        <v>0</v>
      </c>
      <c r="E178" s="1">
        <f t="shared" ref="E178:K178" si="10">COUNT(E143:E175)*5</f>
        <v>0</v>
      </c>
      <c r="F178" s="1">
        <f t="shared" si="10"/>
        <v>0</v>
      </c>
      <c r="G178" s="1">
        <f t="shared" si="10"/>
        <v>0</v>
      </c>
      <c r="H178" s="1">
        <f t="shared" si="10"/>
        <v>0</v>
      </c>
      <c r="I178" s="1">
        <f t="shared" si="10"/>
        <v>0</v>
      </c>
      <c r="J178" s="1">
        <f t="shared" si="10"/>
        <v>0</v>
      </c>
      <c r="K178" s="1">
        <f t="shared" si="10"/>
        <v>0</v>
      </c>
      <c r="M178" s="18" t="e">
        <f>(D179+F179+H179+J179)/4</f>
        <v>#DIV/0!</v>
      </c>
      <c r="N178" s="18" t="e">
        <f>(E179+G179+I179+K179)/4</f>
        <v>#DIV/0!</v>
      </c>
    </row>
    <row r="179" spans="1:16" ht="15">
      <c r="C179" s="2" t="s">
        <v>45</v>
      </c>
      <c r="D179" s="11" t="e">
        <f>D177/D178</f>
        <v>#DIV/0!</v>
      </c>
      <c r="E179" s="11" t="e">
        <f t="shared" ref="E179:K179" si="11">E177/E178</f>
        <v>#DIV/0!</v>
      </c>
      <c r="F179" s="11" t="e">
        <f t="shared" si="11"/>
        <v>#DIV/0!</v>
      </c>
      <c r="G179" s="11" t="e">
        <f t="shared" si="11"/>
        <v>#DIV/0!</v>
      </c>
      <c r="H179" s="11" t="e">
        <f t="shared" si="11"/>
        <v>#DIV/0!</v>
      </c>
      <c r="I179" s="11" t="e">
        <f t="shared" si="11"/>
        <v>#DIV/0!</v>
      </c>
      <c r="J179" s="11" t="e">
        <f t="shared" si="11"/>
        <v>#DIV/0!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/>
      <c r="E182" s="46"/>
      <c r="F182" s="42"/>
      <c r="G182" s="42"/>
      <c r="H182" s="42"/>
      <c r="I182" s="42"/>
      <c r="J182" s="42"/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/>
      <c r="E184" s="7"/>
      <c r="F184" s="38"/>
      <c r="G184" s="38"/>
      <c r="H184" s="38"/>
      <c r="I184" s="38"/>
      <c r="J184" s="38"/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/>
      <c r="E185" s="65"/>
      <c r="F185" s="67"/>
      <c r="G185" s="67"/>
      <c r="H185" s="67"/>
      <c r="I185" s="67"/>
      <c r="J185" s="67"/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/>
      <c r="E187" s="65"/>
      <c r="F187" s="67"/>
      <c r="G187" s="67"/>
      <c r="H187" s="67"/>
      <c r="I187" s="67"/>
      <c r="J187" s="67"/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/>
      <c r="E190" s="65"/>
      <c r="F190" s="67"/>
      <c r="G190" s="67"/>
      <c r="H190" s="67"/>
      <c r="I190" s="67"/>
      <c r="J190" s="67"/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/>
      <c r="E191" s="65"/>
      <c r="F191" s="67"/>
      <c r="G191" s="67"/>
      <c r="H191" s="67"/>
      <c r="I191" s="67"/>
      <c r="J191" s="67"/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/>
      <c r="E192" s="65"/>
      <c r="F192" s="67"/>
      <c r="G192" s="67"/>
      <c r="H192" s="67"/>
      <c r="I192" s="67"/>
      <c r="J192" s="67"/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/>
      <c r="E195" s="65"/>
      <c r="F195" s="67"/>
      <c r="G195" s="67"/>
      <c r="H195" s="67"/>
      <c r="I195" s="67"/>
      <c r="J195" s="67"/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/>
      <c r="E196" s="65"/>
      <c r="F196" s="67"/>
      <c r="G196" s="67"/>
      <c r="H196" s="67"/>
      <c r="I196" s="67"/>
      <c r="J196" s="67"/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/>
      <c r="E198" s="65"/>
      <c r="F198" s="67"/>
      <c r="G198" s="67"/>
      <c r="H198" s="67"/>
      <c r="I198" s="67"/>
      <c r="J198" s="67"/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/>
      <c r="E201" s="65"/>
      <c r="F201" s="67"/>
      <c r="G201" s="67"/>
      <c r="H201" s="67"/>
      <c r="I201" s="67"/>
      <c r="J201" s="67"/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/>
      <c r="E202" s="65"/>
      <c r="F202" s="67"/>
      <c r="G202" s="67"/>
      <c r="H202" s="67"/>
      <c r="I202" s="67"/>
      <c r="J202" s="67"/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/>
      <c r="E203" s="65"/>
      <c r="F203" s="67"/>
      <c r="G203" s="67"/>
      <c r="H203" s="67"/>
      <c r="I203" s="67"/>
      <c r="J203" s="67"/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/>
      <c r="E204" s="65"/>
      <c r="F204" s="67"/>
      <c r="G204" s="67"/>
      <c r="H204" s="67"/>
      <c r="I204" s="67"/>
      <c r="J204" s="67"/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/>
      <c r="E205" s="65"/>
      <c r="F205" s="67"/>
      <c r="G205" s="67"/>
      <c r="H205" s="67"/>
      <c r="I205" s="67"/>
      <c r="J205" s="67"/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/>
      <c r="E208" s="65"/>
      <c r="F208" s="67"/>
      <c r="G208" s="67"/>
      <c r="H208" s="67"/>
      <c r="I208" s="67"/>
      <c r="J208" s="67"/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/>
      <c r="E209" s="65"/>
      <c r="F209" s="67"/>
      <c r="G209" s="67"/>
      <c r="H209" s="67"/>
      <c r="I209" s="67"/>
      <c r="J209" s="67"/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/>
      <c r="E210" s="65"/>
      <c r="F210" s="67"/>
      <c r="G210" s="67"/>
      <c r="H210" s="67"/>
      <c r="I210" s="67"/>
      <c r="J210" s="67"/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/>
      <c r="E212" s="65"/>
      <c r="F212" s="67"/>
      <c r="G212" s="67"/>
      <c r="H212" s="67"/>
      <c r="I212" s="67"/>
      <c r="J212" s="67"/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/>
      <c r="E213" s="65"/>
      <c r="F213" s="67"/>
      <c r="G213" s="67"/>
      <c r="H213" s="67"/>
      <c r="I213" s="67"/>
      <c r="J213" s="67"/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9" spans="1:16" ht="15">
      <c r="B219" s="71" t="s">
        <v>44</v>
      </c>
      <c r="C219" s="71"/>
      <c r="D219" s="1">
        <f>SUM(D185:D216)</f>
        <v>0</v>
      </c>
      <c r="E219" s="1">
        <f t="shared" ref="E219:K219" si="12">SUM(E185:E216)</f>
        <v>0</v>
      </c>
      <c r="F219" s="1">
        <f t="shared" si="12"/>
        <v>0</v>
      </c>
      <c r="G219" s="1">
        <f t="shared" si="12"/>
        <v>0</v>
      </c>
      <c r="H219" s="1">
        <f t="shared" si="12"/>
        <v>0</v>
      </c>
      <c r="I219" s="1">
        <f t="shared" si="12"/>
        <v>0</v>
      </c>
      <c r="J219" s="1">
        <f t="shared" si="12"/>
        <v>0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C220" s="64"/>
      <c r="D220" s="1">
        <f>COUNT(D185:D217)*5</f>
        <v>0</v>
      </c>
      <c r="E220" s="1">
        <f t="shared" ref="E220:K220" si="13">COUNT(E185:E217)*5</f>
        <v>0</v>
      </c>
      <c r="F220" s="1">
        <f t="shared" si="13"/>
        <v>0</v>
      </c>
      <c r="G220" s="1">
        <f t="shared" si="13"/>
        <v>0</v>
      </c>
      <c r="H220" s="1">
        <f t="shared" si="13"/>
        <v>0</v>
      </c>
      <c r="I220" s="1">
        <f t="shared" si="13"/>
        <v>0</v>
      </c>
      <c r="J220" s="1">
        <f t="shared" si="13"/>
        <v>0</v>
      </c>
      <c r="K220" s="1">
        <f t="shared" si="13"/>
        <v>0</v>
      </c>
      <c r="M220" s="18" t="e">
        <f>(D221+F221+H221+J221)/4</f>
        <v>#DIV/0!</v>
      </c>
      <c r="N220" s="18" t="e">
        <f>(E221+G221+I221+K221)/4</f>
        <v>#DIV/0!</v>
      </c>
    </row>
    <row r="221" spans="1:16" ht="15">
      <c r="C221" s="2" t="s">
        <v>45</v>
      </c>
      <c r="D221" s="11" t="e">
        <f>D219/D220</f>
        <v>#DIV/0!</v>
      </c>
      <c r="E221" s="11" t="e">
        <f t="shared" ref="E221:K221" si="14">E219/E220</f>
        <v>#DIV/0!</v>
      </c>
      <c r="F221" s="11" t="e">
        <f t="shared" si="14"/>
        <v>#DIV/0!</v>
      </c>
      <c r="G221" s="11" t="e">
        <f t="shared" si="14"/>
        <v>#DIV/0!</v>
      </c>
      <c r="H221" s="11" t="e">
        <f t="shared" si="14"/>
        <v>#DIV/0!</v>
      </c>
      <c r="I221" s="11" t="e">
        <f t="shared" si="14"/>
        <v>#DIV/0!</v>
      </c>
      <c r="J221" s="11" t="e">
        <f t="shared" si="14"/>
        <v>#DIV/0!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/>
      <c r="E224" s="29"/>
      <c r="F224" s="29"/>
      <c r="G224" s="29"/>
      <c r="H224" s="29"/>
      <c r="I224" s="29"/>
      <c r="J224" s="29"/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/>
      <c r="E226" s="7"/>
      <c r="F226" s="7"/>
      <c r="G226" s="7"/>
      <c r="H226" s="7"/>
      <c r="I226" s="7"/>
      <c r="J226" s="7"/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/>
      <c r="E227" s="65"/>
      <c r="F227" s="65"/>
      <c r="G227" s="65"/>
      <c r="H227" s="65"/>
      <c r="I227" s="65"/>
      <c r="J227" s="65"/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/>
      <c r="E229" s="65"/>
      <c r="F229" s="65"/>
      <c r="G229" s="65"/>
      <c r="H229" s="65"/>
      <c r="I229" s="65"/>
      <c r="J229" s="65"/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/>
      <c r="E232" s="65"/>
      <c r="F232" s="65"/>
      <c r="G232" s="65"/>
      <c r="H232" s="65"/>
      <c r="I232" s="65"/>
      <c r="J232" s="65"/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/>
      <c r="E233" s="65"/>
      <c r="F233" s="65"/>
      <c r="G233" s="65"/>
      <c r="H233" s="65"/>
      <c r="I233" s="65"/>
      <c r="J233" s="65"/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/>
      <c r="E234" s="65"/>
      <c r="F234" s="65"/>
      <c r="G234" s="65"/>
      <c r="H234" s="65"/>
      <c r="I234" s="65"/>
      <c r="J234" s="65"/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/>
      <c r="E237" s="65"/>
      <c r="F237" s="65"/>
      <c r="G237" s="65"/>
      <c r="H237" s="65"/>
      <c r="I237" s="65"/>
      <c r="J237" s="65"/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/>
      <c r="E238" s="65"/>
      <c r="F238" s="65"/>
      <c r="G238" s="65"/>
      <c r="H238" s="65"/>
      <c r="I238" s="65"/>
      <c r="J238" s="65"/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/>
      <c r="E240" s="65"/>
      <c r="F240" s="65"/>
      <c r="G240" s="65"/>
      <c r="H240" s="65"/>
      <c r="I240" s="65"/>
      <c r="J240" s="65"/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/>
      <c r="E243" s="65"/>
      <c r="F243" s="65"/>
      <c r="G243" s="65"/>
      <c r="H243" s="65"/>
      <c r="I243" s="65"/>
      <c r="J243" s="65"/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/>
      <c r="E244" s="65"/>
      <c r="F244" s="65"/>
      <c r="G244" s="65"/>
      <c r="H244" s="65"/>
      <c r="I244" s="65"/>
      <c r="J244" s="65"/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/>
      <c r="E245" s="65"/>
      <c r="F245" s="65"/>
      <c r="G245" s="65"/>
      <c r="H245" s="65"/>
      <c r="I245" s="65"/>
      <c r="J245" s="65"/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/>
      <c r="E246" s="65"/>
      <c r="F246" s="65"/>
      <c r="G246" s="65"/>
      <c r="H246" s="65"/>
      <c r="I246" s="65"/>
      <c r="J246" s="65"/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/>
      <c r="E247" s="65"/>
      <c r="F247" s="65"/>
      <c r="G247" s="65"/>
      <c r="H247" s="65"/>
      <c r="I247" s="65"/>
      <c r="J247" s="65"/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/>
      <c r="E250" s="65"/>
      <c r="F250" s="65"/>
      <c r="G250" s="65"/>
      <c r="H250" s="65"/>
      <c r="I250" s="65"/>
      <c r="J250" s="65"/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/>
      <c r="E251" s="65"/>
      <c r="F251" s="65"/>
      <c r="G251" s="65"/>
      <c r="H251" s="65"/>
      <c r="I251" s="65"/>
      <c r="J251" s="65"/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/>
      <c r="E252" s="65"/>
      <c r="F252" s="65"/>
      <c r="G252" s="65"/>
      <c r="H252" s="65"/>
      <c r="I252" s="65"/>
      <c r="J252" s="65"/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/>
      <c r="E254" s="65"/>
      <c r="F254" s="65"/>
      <c r="G254" s="65"/>
      <c r="H254" s="65"/>
      <c r="I254" s="65"/>
      <c r="J254" s="65"/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/>
      <c r="E255" s="65"/>
      <c r="F255" s="65"/>
      <c r="G255" s="65"/>
      <c r="H255" s="65"/>
      <c r="I255" s="65"/>
      <c r="J255" s="65"/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/>
      <c r="E258" s="65"/>
      <c r="F258" s="65"/>
      <c r="G258" s="65"/>
      <c r="H258" s="65"/>
      <c r="I258" s="65"/>
      <c r="J258" s="65"/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D260" s="64"/>
      <c r="E260" s="64"/>
      <c r="F260" s="64"/>
      <c r="G260" s="64"/>
      <c r="H260" s="64"/>
      <c r="I260" s="64"/>
      <c r="J260" s="64"/>
      <c r="K260" s="64"/>
    </row>
    <row r="261" spans="1:16" ht="15">
      <c r="B261" s="71" t="s">
        <v>44</v>
      </c>
      <c r="C261" s="71"/>
      <c r="D261" s="1">
        <f>SUM(D227:D258)</f>
        <v>0</v>
      </c>
      <c r="E261" s="1">
        <f t="shared" ref="E261:K261" si="15">SUM(E227:E258)</f>
        <v>0</v>
      </c>
      <c r="F261" s="1">
        <f t="shared" si="15"/>
        <v>0</v>
      </c>
      <c r="G261" s="1">
        <f t="shared" si="15"/>
        <v>0</v>
      </c>
      <c r="H261" s="1">
        <f t="shared" si="15"/>
        <v>0</v>
      </c>
      <c r="I261" s="1">
        <f t="shared" si="15"/>
        <v>0</v>
      </c>
      <c r="J261" s="1">
        <f t="shared" si="15"/>
        <v>0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C262" s="64"/>
      <c r="D262" s="1">
        <f>COUNT(D227:D259)*5</f>
        <v>0</v>
      </c>
      <c r="E262" s="1">
        <f t="shared" ref="E262:K262" si="16">COUNT(E227:E259)*5</f>
        <v>0</v>
      </c>
      <c r="F262" s="1">
        <f t="shared" si="16"/>
        <v>0</v>
      </c>
      <c r="G262" s="1">
        <f t="shared" si="16"/>
        <v>0</v>
      </c>
      <c r="H262" s="1">
        <f t="shared" si="16"/>
        <v>0</v>
      </c>
      <c r="I262" s="1">
        <f t="shared" si="16"/>
        <v>0</v>
      </c>
      <c r="J262" s="1">
        <f t="shared" si="16"/>
        <v>0</v>
      </c>
      <c r="K262" s="1">
        <f t="shared" si="16"/>
        <v>0</v>
      </c>
      <c r="M262" s="18" t="e">
        <f>(D263+F263+H263+J263)/4</f>
        <v>#DIV/0!</v>
      </c>
      <c r="N262" s="18" t="e">
        <f>(E263+G263+I263+K263)/4</f>
        <v>#DIV/0!</v>
      </c>
    </row>
    <row r="263" spans="1:16" ht="15">
      <c r="C263" s="2" t="s">
        <v>45</v>
      </c>
      <c r="D263" s="11" t="e">
        <f>D261/D262</f>
        <v>#DIV/0!</v>
      </c>
      <c r="E263" s="11" t="e">
        <f t="shared" ref="E263:K263" si="17">E261/E262</f>
        <v>#DIV/0!</v>
      </c>
      <c r="F263" s="11" t="e">
        <f t="shared" si="17"/>
        <v>#DIV/0!</v>
      </c>
      <c r="G263" s="11" t="e">
        <f t="shared" si="17"/>
        <v>#DIV/0!</v>
      </c>
      <c r="H263" s="11" t="e">
        <f t="shared" si="17"/>
        <v>#DIV/0!</v>
      </c>
      <c r="I263" s="11" t="e">
        <f t="shared" si="17"/>
        <v>#DIV/0!</v>
      </c>
      <c r="J263" s="11" t="e">
        <f t="shared" si="17"/>
        <v>#DIV/0!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/>
      <c r="E266" s="55"/>
      <c r="F266" s="55"/>
      <c r="G266" s="55"/>
      <c r="H266" s="55"/>
      <c r="I266" s="55"/>
      <c r="J266" s="55"/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/>
      <c r="E268" s="54"/>
      <c r="F268" s="54"/>
      <c r="G268" s="54"/>
      <c r="H268" s="54"/>
      <c r="I268" s="54"/>
      <c r="J268" s="54"/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/>
      <c r="E269" s="56"/>
      <c r="F269" s="56"/>
      <c r="G269" s="56"/>
      <c r="H269" s="56"/>
      <c r="I269" s="56"/>
      <c r="J269" s="56"/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/>
      <c r="E271" s="56"/>
      <c r="F271" s="56"/>
      <c r="G271" s="56"/>
      <c r="H271" s="56"/>
      <c r="I271" s="56"/>
      <c r="J271" s="56"/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/>
      <c r="E274" s="56"/>
      <c r="F274" s="56"/>
      <c r="G274" s="56"/>
      <c r="H274" s="56"/>
      <c r="I274" s="56"/>
      <c r="J274" s="56"/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/>
      <c r="E275" s="56"/>
      <c r="F275" s="56"/>
      <c r="G275" s="56"/>
      <c r="H275" s="56"/>
      <c r="I275" s="56"/>
      <c r="J275" s="56"/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/>
      <c r="E276" s="56"/>
      <c r="F276" s="56"/>
      <c r="G276" s="56"/>
      <c r="H276" s="56"/>
      <c r="I276" s="56"/>
      <c r="J276" s="56"/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/>
      <c r="E279" s="56"/>
      <c r="F279" s="56"/>
      <c r="G279" s="56"/>
      <c r="H279" s="56"/>
      <c r="I279" s="56"/>
      <c r="J279" s="56"/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/>
      <c r="E280" s="56"/>
      <c r="F280" s="56"/>
      <c r="G280" s="56"/>
      <c r="H280" s="56"/>
      <c r="I280" s="56"/>
      <c r="J280" s="56"/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/>
      <c r="E282" s="56"/>
      <c r="F282" s="56"/>
      <c r="G282" s="56"/>
      <c r="H282" s="56"/>
      <c r="I282" s="56"/>
      <c r="J282" s="56"/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/>
      <c r="E285" s="56"/>
      <c r="F285" s="56"/>
      <c r="G285" s="56"/>
      <c r="H285" s="56"/>
      <c r="I285" s="56"/>
      <c r="J285" s="56"/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/>
      <c r="E286" s="56"/>
      <c r="F286" s="56"/>
      <c r="G286" s="56"/>
      <c r="H286" s="56"/>
      <c r="I286" s="56"/>
      <c r="J286" s="56"/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/>
      <c r="E287" s="56"/>
      <c r="F287" s="56"/>
      <c r="G287" s="56"/>
      <c r="H287" s="56"/>
      <c r="I287" s="56"/>
      <c r="J287" s="56"/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/>
      <c r="E288" s="56"/>
      <c r="F288" s="56"/>
      <c r="G288" s="56"/>
      <c r="H288" s="56"/>
      <c r="I288" s="56"/>
      <c r="J288" s="56"/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/>
      <c r="E289" s="56"/>
      <c r="F289" s="56"/>
      <c r="G289" s="56"/>
      <c r="H289" s="56"/>
      <c r="I289" s="56"/>
      <c r="J289" s="56"/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/>
      <c r="E292" s="56"/>
      <c r="F292" s="56"/>
      <c r="G292" s="56"/>
      <c r="H292" s="56"/>
      <c r="I292" s="56"/>
      <c r="J292" s="56"/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/>
      <c r="E293" s="56"/>
      <c r="F293" s="56"/>
      <c r="G293" s="56"/>
      <c r="H293" s="56"/>
      <c r="I293" s="56"/>
      <c r="J293" s="56"/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/>
      <c r="E294" s="56"/>
      <c r="F294" s="56"/>
      <c r="G294" s="56"/>
      <c r="H294" s="56"/>
      <c r="I294" s="56"/>
      <c r="J294" s="56"/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/>
      <c r="E296" s="56"/>
      <c r="F296" s="56"/>
      <c r="G296" s="56"/>
      <c r="H296" s="56"/>
      <c r="I296" s="56"/>
      <c r="J296" s="56"/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/>
      <c r="E297" s="56"/>
      <c r="F297" s="56"/>
      <c r="G297" s="56"/>
      <c r="H297" s="56"/>
      <c r="I297" s="56"/>
      <c r="J297" s="56"/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/>
      <c r="E300" s="56"/>
      <c r="F300" s="56"/>
      <c r="G300" s="56"/>
      <c r="H300" s="56"/>
      <c r="I300" s="56"/>
      <c r="J300" s="56"/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3" spans="1:16" ht="15">
      <c r="B303" s="71" t="s">
        <v>44</v>
      </c>
      <c r="C303" s="71"/>
      <c r="D303" s="1">
        <f>SUM(D269:D300)</f>
        <v>0</v>
      </c>
      <c r="E303" s="1">
        <f t="shared" ref="E303:K303" si="18">SUM(E269:E300)</f>
        <v>0</v>
      </c>
      <c r="F303" s="1">
        <f t="shared" si="18"/>
        <v>0</v>
      </c>
      <c r="G303" s="1">
        <f t="shared" si="18"/>
        <v>0</v>
      </c>
      <c r="H303" s="1">
        <f t="shared" si="18"/>
        <v>0</v>
      </c>
      <c r="I303" s="1">
        <f t="shared" si="18"/>
        <v>0</v>
      </c>
      <c r="J303" s="1">
        <f t="shared" si="18"/>
        <v>0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C304" s="64"/>
      <c r="D304" s="1">
        <f>COUNT(D269:D301)*5</f>
        <v>0</v>
      </c>
      <c r="E304" s="1">
        <f t="shared" ref="E304:K304" si="19">COUNT(E269:E301)*5</f>
        <v>0</v>
      </c>
      <c r="F304" s="1">
        <f t="shared" si="19"/>
        <v>0</v>
      </c>
      <c r="G304" s="1">
        <f t="shared" si="19"/>
        <v>0</v>
      </c>
      <c r="H304" s="1">
        <f t="shared" si="19"/>
        <v>0</v>
      </c>
      <c r="I304" s="1">
        <f t="shared" si="19"/>
        <v>0</v>
      </c>
      <c r="J304" s="1">
        <f t="shared" si="19"/>
        <v>0</v>
      </c>
      <c r="K304" s="1">
        <f t="shared" si="19"/>
        <v>0</v>
      </c>
      <c r="M304" s="18" t="e">
        <f>(D305+F305+H305+J305)/4</f>
        <v>#DIV/0!</v>
      </c>
      <c r="N304" s="18" t="e">
        <f>(E305+G305+I305+K305)/4</f>
        <v>#DIV/0!</v>
      </c>
    </row>
    <row r="305" spans="1:16" ht="15">
      <c r="C305" s="2" t="s">
        <v>45</v>
      </c>
      <c r="D305" s="11" t="e">
        <f>D303/D304</f>
        <v>#DIV/0!</v>
      </c>
      <c r="E305" s="11" t="e">
        <f t="shared" ref="E305:K305" si="20">E303/E304</f>
        <v>#DIV/0!</v>
      </c>
      <c r="F305" s="11" t="e">
        <f t="shared" si="20"/>
        <v>#DIV/0!</v>
      </c>
      <c r="G305" s="11" t="e">
        <f t="shared" si="20"/>
        <v>#DIV/0!</v>
      </c>
      <c r="H305" s="11" t="e">
        <f t="shared" si="20"/>
        <v>#DIV/0!</v>
      </c>
      <c r="I305" s="11" t="e">
        <f t="shared" si="20"/>
        <v>#DIV/0!</v>
      </c>
      <c r="J305" s="11" t="e">
        <f t="shared" si="20"/>
        <v>#DIV/0!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/>
      <c r="E308" s="46"/>
      <c r="F308" s="46"/>
      <c r="G308" s="46"/>
      <c r="H308" s="46"/>
      <c r="I308" s="46"/>
      <c r="J308" s="46"/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/>
      <c r="E310" s="7"/>
      <c r="F310" s="7"/>
      <c r="G310" s="7"/>
      <c r="H310" s="7"/>
      <c r="I310" s="7"/>
      <c r="J310" s="7"/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/>
      <c r="E311" s="65"/>
      <c r="F311" s="65"/>
      <c r="G311" s="65"/>
      <c r="H311" s="65"/>
      <c r="I311" s="65"/>
      <c r="J311" s="65"/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/>
      <c r="E313" s="65"/>
      <c r="F313" s="65"/>
      <c r="G313" s="65"/>
      <c r="H313" s="65"/>
      <c r="I313" s="65"/>
      <c r="J313" s="65"/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/>
      <c r="E316" s="65"/>
      <c r="F316" s="65"/>
      <c r="G316" s="65"/>
      <c r="H316" s="65"/>
      <c r="I316" s="65"/>
      <c r="J316" s="65"/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/>
      <c r="E317" s="65"/>
      <c r="F317" s="65"/>
      <c r="G317" s="65"/>
      <c r="H317" s="65"/>
      <c r="I317" s="65"/>
      <c r="J317" s="65"/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/>
      <c r="E318" s="65"/>
      <c r="F318" s="65"/>
      <c r="G318" s="65"/>
      <c r="H318" s="65"/>
      <c r="I318" s="65"/>
      <c r="J318" s="65"/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/>
      <c r="E321" s="65"/>
      <c r="F321" s="65"/>
      <c r="G321" s="65"/>
      <c r="H321" s="65"/>
      <c r="I321" s="65"/>
      <c r="J321" s="65"/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/>
      <c r="E322" s="65"/>
      <c r="F322" s="65"/>
      <c r="G322" s="65"/>
      <c r="H322" s="65"/>
      <c r="I322" s="65"/>
      <c r="J322" s="65"/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/>
      <c r="E324" s="65"/>
      <c r="F324" s="65"/>
      <c r="G324" s="65"/>
      <c r="H324" s="65"/>
      <c r="I324" s="65"/>
      <c r="J324" s="65"/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/>
      <c r="E327" s="65"/>
      <c r="F327" s="65"/>
      <c r="G327" s="65"/>
      <c r="H327" s="65"/>
      <c r="I327" s="65"/>
      <c r="J327" s="65"/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/>
      <c r="E328" s="65"/>
      <c r="F328" s="65"/>
      <c r="G328" s="65"/>
      <c r="H328" s="65"/>
      <c r="I328" s="65"/>
      <c r="J328" s="65"/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/>
      <c r="E329" s="65"/>
      <c r="F329" s="65"/>
      <c r="G329" s="65"/>
      <c r="H329" s="65"/>
      <c r="I329" s="65"/>
      <c r="J329" s="65"/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/>
      <c r="E330" s="65"/>
      <c r="F330" s="65"/>
      <c r="G330" s="65"/>
      <c r="H330" s="65"/>
      <c r="I330" s="65"/>
      <c r="J330" s="65"/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/>
      <c r="E331" s="65"/>
      <c r="F331" s="65"/>
      <c r="G331" s="65"/>
      <c r="H331" s="65"/>
      <c r="I331" s="65"/>
      <c r="J331" s="65"/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/>
      <c r="E334" s="65"/>
      <c r="F334" s="65"/>
      <c r="G334" s="65"/>
      <c r="H334" s="65"/>
      <c r="I334" s="65"/>
      <c r="J334" s="65"/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/>
      <c r="E335" s="65"/>
      <c r="F335" s="65"/>
      <c r="G335" s="65"/>
      <c r="H335" s="65"/>
      <c r="I335" s="65"/>
      <c r="J335" s="65"/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/>
      <c r="E336" s="65"/>
      <c r="F336" s="65"/>
      <c r="G336" s="65"/>
      <c r="H336" s="65"/>
      <c r="I336" s="65"/>
      <c r="J336" s="65"/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/>
      <c r="E338" s="65"/>
      <c r="F338" s="65"/>
      <c r="G338" s="65"/>
      <c r="H338" s="65"/>
      <c r="I338" s="65"/>
      <c r="J338" s="65"/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/>
      <c r="E339" s="65"/>
      <c r="F339" s="65"/>
      <c r="G339" s="65"/>
      <c r="H339" s="65"/>
      <c r="I339" s="65"/>
      <c r="J339" s="65"/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/>
      <c r="E342" s="65"/>
      <c r="F342" s="65"/>
      <c r="G342" s="65"/>
      <c r="H342" s="65"/>
      <c r="I342" s="65"/>
      <c r="J342" s="65"/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5" spans="1:16" ht="15">
      <c r="B345" s="71" t="s">
        <v>44</v>
      </c>
      <c r="C345" s="71"/>
      <c r="D345" s="1">
        <f>SUM(D311:D342)</f>
        <v>0</v>
      </c>
      <c r="E345" s="1">
        <f t="shared" ref="E345:K345" si="21">SUM(E311:E342)</f>
        <v>0</v>
      </c>
      <c r="F345" s="1">
        <f t="shared" si="21"/>
        <v>0</v>
      </c>
      <c r="G345" s="1">
        <f t="shared" si="21"/>
        <v>0</v>
      </c>
      <c r="H345" s="1">
        <f t="shared" si="21"/>
        <v>0</v>
      </c>
      <c r="I345" s="1">
        <f t="shared" si="21"/>
        <v>0</v>
      </c>
      <c r="J345" s="1">
        <f t="shared" si="21"/>
        <v>0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C346" s="64"/>
      <c r="D346" s="1">
        <f>COUNT(D311:D343)*5</f>
        <v>0</v>
      </c>
      <c r="E346" s="1">
        <f t="shared" ref="E346:K346" si="22">COUNT(E311:E343)*5</f>
        <v>0</v>
      </c>
      <c r="F346" s="1">
        <f t="shared" si="22"/>
        <v>0</v>
      </c>
      <c r="G346" s="1">
        <f t="shared" si="22"/>
        <v>0</v>
      </c>
      <c r="H346" s="1">
        <f t="shared" si="22"/>
        <v>0</v>
      </c>
      <c r="I346" s="1">
        <f t="shared" si="22"/>
        <v>0</v>
      </c>
      <c r="J346" s="1">
        <f t="shared" si="22"/>
        <v>0</v>
      </c>
      <c r="K346" s="1">
        <f t="shared" si="22"/>
        <v>0</v>
      </c>
      <c r="M346" s="18" t="e">
        <f>(D347+F347+H347+J347)/4</f>
        <v>#DIV/0!</v>
      </c>
      <c r="N346" s="18" t="e">
        <f>(E347+G347+I347+K347)/4</f>
        <v>#DIV/0!</v>
      </c>
    </row>
    <row r="347" spans="1:16" ht="15">
      <c r="C347" s="2" t="s">
        <v>45</v>
      </c>
      <c r="D347" s="11" t="e">
        <f>D345/D346</f>
        <v>#DIV/0!</v>
      </c>
      <c r="E347" s="11" t="e">
        <f t="shared" ref="E347:K347" si="23">E345/E346</f>
        <v>#DIV/0!</v>
      </c>
      <c r="F347" s="11" t="e">
        <f t="shared" si="23"/>
        <v>#DIV/0!</v>
      </c>
      <c r="G347" s="11" t="e">
        <f t="shared" si="23"/>
        <v>#DIV/0!</v>
      </c>
      <c r="H347" s="11" t="e">
        <f t="shared" si="23"/>
        <v>#DIV/0!</v>
      </c>
      <c r="I347" s="11" t="e">
        <f t="shared" si="23"/>
        <v>#DIV/0!</v>
      </c>
      <c r="J347" s="11" t="e">
        <f t="shared" si="23"/>
        <v>#DIV/0!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/>
      <c r="E350" s="29"/>
      <c r="F350" s="29"/>
      <c r="G350" s="29"/>
      <c r="H350" s="29"/>
      <c r="I350" s="29"/>
      <c r="J350" s="29"/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/>
      <c r="E352" s="6"/>
      <c r="F352" s="6"/>
      <c r="G352" s="6"/>
      <c r="H352" s="6"/>
      <c r="I352" s="6"/>
      <c r="J352" s="6"/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</mergeCells>
  <hyperlinks>
    <hyperlink ref="B2" location="'ALL STAFF'!A1" display="&lt;BACK" xr:uid="{05808CD9-011B-4138-BF74-F8C13E634E98}"/>
    <hyperlink ref="C13" location="'ALL STAFF'!A1" display="&lt;BACK" xr:uid="{691AD030-B4C9-4209-90BD-709C95C79413}"/>
    <hyperlink ref="C55" location="'ALL STAFF'!A1" display="&lt;BACK" xr:uid="{96152890-75E0-45E3-A062-3611963D495D}"/>
    <hyperlink ref="C97" location="'ALL STAFF'!A1" display="&lt;BACK" xr:uid="{39C74A36-8EF6-41B8-B31A-DCECEA0A2670}"/>
    <hyperlink ref="C139" location="'ALL STAFF'!A1" display="&lt;BACK" xr:uid="{5D0C02FB-8976-492A-89D3-C7D4E013F21A}"/>
    <hyperlink ref="C181" location="'ALL STAFF'!A1" display="&lt;BACK" xr:uid="{18CAE102-288F-41F1-8268-3CD8F5DBDB17}"/>
    <hyperlink ref="C223" location="'ALL STAFF'!A1" display="&lt;BACK" xr:uid="{C560AF80-1DB2-4062-BB9D-272DA6EB5E4B}"/>
    <hyperlink ref="C265" location="'ALL STAFF'!A1" display="&lt;BACK" xr:uid="{894C4A94-88C9-4362-97E3-49546EA34011}"/>
    <hyperlink ref="C307" location="'ALL STAFF'!A1" display="&lt;BACK" xr:uid="{0E0528DB-5C5C-4180-B0E2-2ECB04BC0E62}"/>
    <hyperlink ref="C349" location="'ALL STAFF'!A1" display="&lt;BACK" xr:uid="{AC0352A9-ACC2-48F8-A722-BBCC927351D5}"/>
    <hyperlink ref="C391" location="'ALL STAFF'!A1" display="&lt;BACK" xr:uid="{44A09BC4-AF4D-4DD9-86DC-0D3B83EED12F}"/>
    <hyperlink ref="C433" location="'ALL STAFF'!A1" display="&lt;BACK" xr:uid="{E38E7AAC-A216-44C9-9F44-4D0FB5007CBA}"/>
    <hyperlink ref="C475" location="'ALL STAFF'!A1" display="&lt;BACK" xr:uid="{E6D8D36B-76CA-4B08-AF2B-3365411024C8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01E478-777F-4F7A-B445-832E8C9C9218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5455-5485-4617-AB41-9B0D4E569B0C}">
  <sheetPr codeName="Sheet10"/>
  <dimension ref="A1:T515"/>
  <sheetViews>
    <sheetView tabSelected="1" topLeftCell="A356" zoomScale="80" zoomScaleNormal="80" workbookViewId="0">
      <selection activeCell="H389" sqref="H389"/>
    </sheetView>
  </sheetViews>
  <sheetFormatPr defaultRowHeight="14.25"/>
  <cols>
    <col min="1" max="1" width="5" customWidth="1"/>
    <col min="2" max="2" width="52.625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23" t="s">
        <v>6</v>
      </c>
      <c r="R2" s="20">
        <v>46023</v>
      </c>
      <c r="S2" s="21" t="e">
        <f>M52</f>
        <v>#DIV/0!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 t="e">
        <f>M178</f>
        <v>#DIV/0!</v>
      </c>
      <c r="T5" s="21" t="e">
        <f>N178</f>
        <v>#DIV/0!</v>
      </c>
    </row>
    <row r="6" spans="1:20" ht="15">
      <c r="A6" s="27">
        <v>3</v>
      </c>
      <c r="R6" s="20">
        <v>46143</v>
      </c>
      <c r="S6" s="21" t="e">
        <f>M220</f>
        <v>#DIV/0!</v>
      </c>
      <c r="T6" s="21" t="e">
        <f>N220</f>
        <v>#DIV/0!</v>
      </c>
    </row>
    <row r="7" spans="1:20" ht="15">
      <c r="A7" s="27">
        <v>4</v>
      </c>
      <c r="R7" s="20">
        <v>46174</v>
      </c>
      <c r="S7" s="21" t="e">
        <f>M262</f>
        <v>#DIV/0!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 t="e">
        <f>M304</f>
        <v>#DIV/0!</v>
      </c>
      <c r="T8" s="21" t="e">
        <f>N304</f>
        <v>#DIV/0!</v>
      </c>
    </row>
    <row r="9" spans="1:20" ht="15">
      <c r="R9" s="20">
        <v>46235</v>
      </c>
      <c r="S9" s="21" t="e">
        <f>M346</f>
        <v>#DIV/0!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/>
      <c r="E14" s="46"/>
      <c r="F14" s="46"/>
      <c r="G14" s="46"/>
      <c r="H14" s="46"/>
      <c r="I14" s="46"/>
      <c r="J14" s="46"/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/>
      <c r="E16" s="7"/>
      <c r="F16" s="7"/>
      <c r="G16" s="7"/>
      <c r="H16" s="7"/>
      <c r="I16" s="7"/>
      <c r="J16" s="7"/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/>
      <c r="E17" s="67"/>
      <c r="F17" s="67"/>
      <c r="G17" s="67"/>
      <c r="H17" s="67"/>
      <c r="I17" s="67"/>
      <c r="J17" s="67"/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/>
      <c r="E19" s="67"/>
      <c r="F19" s="67"/>
      <c r="G19" s="67"/>
      <c r="H19" s="67"/>
      <c r="I19" s="67"/>
      <c r="J19" s="67"/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/>
      <c r="E22" s="67"/>
      <c r="F22" s="67"/>
      <c r="G22" s="67"/>
      <c r="H22" s="67"/>
      <c r="I22" s="67"/>
      <c r="J22" s="67"/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/>
      <c r="E23" s="67"/>
      <c r="F23" s="67"/>
      <c r="G23" s="67"/>
      <c r="H23" s="67"/>
      <c r="I23" s="67"/>
      <c r="J23" s="67"/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/>
      <c r="E24" s="67"/>
      <c r="F24" s="67"/>
      <c r="G24" s="67"/>
      <c r="H24" s="67"/>
      <c r="I24" s="67"/>
      <c r="J24" s="67"/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/>
      <c r="E27" s="67"/>
      <c r="F27" s="67"/>
      <c r="G27" s="67"/>
      <c r="H27" s="67"/>
      <c r="I27" s="67"/>
      <c r="J27" s="67"/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/>
      <c r="E28" s="67"/>
      <c r="F28" s="67"/>
      <c r="G28" s="67"/>
      <c r="H28" s="67"/>
      <c r="I28" s="67"/>
      <c r="J28" s="67"/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/>
      <c r="E30" s="67"/>
      <c r="F30" s="67"/>
      <c r="G30" s="67"/>
      <c r="H30" s="67"/>
      <c r="I30" s="67"/>
      <c r="J30" s="67"/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/>
      <c r="E33" s="67"/>
      <c r="F33" s="67"/>
      <c r="G33" s="67"/>
      <c r="H33" s="67"/>
      <c r="I33" s="67"/>
      <c r="J33" s="67"/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/>
      <c r="E34" s="67"/>
      <c r="F34" s="67"/>
      <c r="G34" s="67"/>
      <c r="H34" s="67"/>
      <c r="I34" s="67"/>
      <c r="J34" s="67"/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/>
      <c r="E35" s="67"/>
      <c r="F35" s="67"/>
      <c r="G35" s="67"/>
      <c r="H35" s="67"/>
      <c r="I35" s="67"/>
      <c r="J35" s="67"/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/>
      <c r="E36" s="67"/>
      <c r="F36" s="67"/>
      <c r="G36" s="67"/>
      <c r="H36" s="67"/>
      <c r="I36" s="67"/>
      <c r="J36" s="67"/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/>
      <c r="E37" s="67"/>
      <c r="F37" s="67"/>
      <c r="G37" s="67"/>
      <c r="H37" s="67"/>
      <c r="I37" s="67"/>
      <c r="J37" s="67"/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/>
      <c r="E40" s="67"/>
      <c r="F40" s="67"/>
      <c r="G40" s="67"/>
      <c r="H40" s="67"/>
      <c r="I40" s="67"/>
      <c r="J40" s="67"/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/>
      <c r="E41" s="67"/>
      <c r="F41" s="67"/>
      <c r="G41" s="67"/>
      <c r="H41" s="67"/>
      <c r="I41" s="67"/>
      <c r="J41" s="67"/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/>
      <c r="E42" s="67"/>
      <c r="F42" s="67"/>
      <c r="G42" s="67"/>
      <c r="H42" s="67"/>
      <c r="I42" s="67"/>
      <c r="J42" s="67"/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/>
      <c r="E44" s="67"/>
      <c r="F44" s="67"/>
      <c r="G44" s="67"/>
      <c r="H44" s="67"/>
      <c r="I44" s="67"/>
      <c r="J44" s="67"/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/>
      <c r="E45" s="67"/>
      <c r="F45" s="67"/>
      <c r="G45" s="67"/>
      <c r="H45" s="67"/>
      <c r="I45" s="67"/>
      <c r="J45" s="67"/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/>
      <c r="E48" s="67"/>
      <c r="F48" s="67"/>
      <c r="G48" s="67"/>
      <c r="H48" s="67"/>
      <c r="I48" s="67"/>
      <c r="J48" s="67"/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1" spans="1:16" ht="15">
      <c r="B51" s="71" t="s">
        <v>44</v>
      </c>
      <c r="C51" s="71"/>
      <c r="D51" s="1">
        <f>SUM(D17:D48)</f>
        <v>0</v>
      </c>
      <c r="E51" s="1">
        <f t="shared" ref="E51:K51" si="0">SUM(E17:E48)</f>
        <v>0</v>
      </c>
      <c r="F51" s="1">
        <f t="shared" si="0"/>
        <v>0</v>
      </c>
      <c r="G51" s="1">
        <f t="shared" si="0"/>
        <v>0</v>
      </c>
      <c r="H51" s="1">
        <f t="shared" si="0"/>
        <v>0</v>
      </c>
      <c r="I51" s="1">
        <f t="shared" si="0"/>
        <v>0</v>
      </c>
      <c r="J51" s="1">
        <f t="shared" si="0"/>
        <v>0</v>
      </c>
      <c r="K51" s="1">
        <f t="shared" si="0"/>
        <v>0</v>
      </c>
      <c r="M51" s="17" t="s">
        <v>2</v>
      </c>
      <c r="N51" s="17" t="s">
        <v>3</v>
      </c>
    </row>
    <row r="52" spans="1:16" ht="15">
      <c r="C52" s="64"/>
      <c r="D52" s="1">
        <f>COUNT(D17:D49)*5</f>
        <v>0</v>
      </c>
      <c r="E52" s="1">
        <f t="shared" ref="E52:K52" si="1">COUNT(E17:E49)*5</f>
        <v>0</v>
      </c>
      <c r="F52" s="1">
        <f t="shared" si="1"/>
        <v>0</v>
      </c>
      <c r="G52" s="1">
        <f t="shared" si="1"/>
        <v>0</v>
      </c>
      <c r="H52" s="1">
        <f t="shared" si="1"/>
        <v>0</v>
      </c>
      <c r="I52" s="1">
        <f t="shared" si="1"/>
        <v>0</v>
      </c>
      <c r="J52" s="1">
        <f t="shared" si="1"/>
        <v>0</v>
      </c>
      <c r="K52" s="1">
        <f t="shared" si="1"/>
        <v>0</v>
      </c>
      <c r="M52" s="18" t="e">
        <f>(D53+F53+H53+J53)/4</f>
        <v>#DIV/0!</v>
      </c>
      <c r="N52" s="18" t="e">
        <f>(E53+G53+I53+K53)/4</f>
        <v>#DIV/0!</v>
      </c>
    </row>
    <row r="53" spans="1:16" ht="15">
      <c r="C53" s="2" t="s">
        <v>45</v>
      </c>
      <c r="D53" s="11" t="e">
        <f>D51/D52</f>
        <v>#DIV/0!</v>
      </c>
      <c r="E53" s="11" t="e">
        <f t="shared" ref="E53:K53" si="2">E51/E52</f>
        <v>#DIV/0!</v>
      </c>
      <c r="F53" s="11" t="e">
        <f t="shared" si="2"/>
        <v>#DIV/0!</v>
      </c>
      <c r="G53" s="11" t="e">
        <f t="shared" si="2"/>
        <v>#DIV/0!</v>
      </c>
      <c r="H53" s="11" t="e">
        <f t="shared" si="2"/>
        <v>#DIV/0!</v>
      </c>
      <c r="I53" s="11" t="e">
        <f t="shared" si="2"/>
        <v>#DIV/0!</v>
      </c>
      <c r="J53" s="11" t="e">
        <f t="shared" si="2"/>
        <v>#DIV/0!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/>
      <c r="E56" s="29"/>
      <c r="F56" s="29"/>
      <c r="G56" s="29"/>
      <c r="H56" s="29"/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/>
      <c r="E58" s="6"/>
      <c r="F58" s="6"/>
      <c r="G58" s="6"/>
      <c r="H58" s="6"/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/>
      <c r="E59" s="8"/>
      <c r="F59" s="8"/>
      <c r="G59" s="8"/>
      <c r="H59" s="8"/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/>
      <c r="E61" s="8"/>
      <c r="F61" s="8"/>
      <c r="G61" s="8"/>
      <c r="H61" s="8"/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/>
      <c r="E64" s="8"/>
      <c r="F64" s="8"/>
      <c r="G64" s="8"/>
      <c r="H64" s="8"/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/>
      <c r="E65" s="8"/>
      <c r="F65" s="8"/>
      <c r="G65" s="8"/>
      <c r="H65" s="8"/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/>
      <c r="E66" s="8"/>
      <c r="F66" s="8"/>
      <c r="G66" s="8"/>
      <c r="H66" s="8"/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/>
      <c r="E69" s="8"/>
      <c r="F69" s="8"/>
      <c r="G69" s="8"/>
      <c r="H69" s="8"/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/>
      <c r="E70" s="8"/>
      <c r="F70" s="8"/>
      <c r="G70" s="8"/>
      <c r="H70" s="8"/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/>
      <c r="E72" s="8"/>
      <c r="F72" s="8"/>
      <c r="G72" s="8"/>
      <c r="H72" s="8"/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/>
      <c r="E75" s="8"/>
      <c r="F75" s="8"/>
      <c r="G75" s="8"/>
      <c r="H75" s="8"/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/>
      <c r="E76" s="8"/>
      <c r="F76" s="8"/>
      <c r="G76" s="8"/>
      <c r="H76" s="8"/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/>
      <c r="E77" s="8"/>
      <c r="F77" s="8"/>
      <c r="G77" s="8"/>
      <c r="H77" s="8"/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/>
      <c r="E78" s="8"/>
      <c r="F78" s="8"/>
      <c r="G78" s="8"/>
      <c r="H78" s="8"/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/>
      <c r="E79" s="8"/>
      <c r="F79" s="8"/>
      <c r="G79" s="8"/>
      <c r="H79" s="8"/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/>
      <c r="E82" s="8"/>
      <c r="F82" s="8"/>
      <c r="G82" s="8"/>
      <c r="H82" s="8"/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/>
      <c r="E83" s="8"/>
      <c r="F83" s="8"/>
      <c r="G83" s="8"/>
      <c r="H83" s="8"/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/>
      <c r="E84" s="8"/>
      <c r="F84" s="8"/>
      <c r="G84" s="8"/>
      <c r="H84" s="8"/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/>
      <c r="E86" s="8"/>
      <c r="F86" s="8"/>
      <c r="G86" s="8"/>
      <c r="H86" s="8"/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/>
      <c r="E90" s="8"/>
      <c r="F90" s="8"/>
      <c r="G90" s="8"/>
      <c r="H90" s="8"/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3" spans="1:16" ht="15">
      <c r="B93" s="71" t="s">
        <v>44</v>
      </c>
      <c r="C93" s="71"/>
      <c r="D93" s="1">
        <f>SUM(D59:D90)</f>
        <v>0</v>
      </c>
      <c r="E93" s="1">
        <f t="shared" ref="E93:K93" si="3">SUM(E59:E90)</f>
        <v>0</v>
      </c>
      <c r="F93" s="1">
        <f t="shared" si="3"/>
        <v>0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C94" s="64"/>
      <c r="D94" s="1">
        <f>COUNT(D59:D91)*5</f>
        <v>0</v>
      </c>
      <c r="E94" s="1">
        <f t="shared" ref="E94:K94" si="4">COUNT(E59:E91)*5</f>
        <v>0</v>
      </c>
      <c r="F94" s="1">
        <f t="shared" si="4"/>
        <v>0</v>
      </c>
      <c r="G94" s="1">
        <f t="shared" si="4"/>
        <v>0</v>
      </c>
      <c r="H94" s="1">
        <f t="shared" si="4"/>
        <v>0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C95" s="2" t="s">
        <v>45</v>
      </c>
      <c r="D95" s="11" t="e">
        <f>D93/D94</f>
        <v>#DIV/0!</v>
      </c>
      <c r="E95" s="11" t="e">
        <f t="shared" ref="E95:K95" si="5">E93/E94</f>
        <v>#DIV/0!</v>
      </c>
      <c r="F95" s="11" t="e">
        <f t="shared" si="5"/>
        <v>#DIV/0!</v>
      </c>
      <c r="G95" s="11" t="e">
        <f t="shared" si="5"/>
        <v>#DIV/0!</v>
      </c>
      <c r="H95" s="11" t="e">
        <f t="shared" si="5"/>
        <v>#DIV/0!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/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/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/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/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/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/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/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/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/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/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/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/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/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/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/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/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/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/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/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/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/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5" spans="1:16" ht="15">
      <c r="B135" s="71" t="s">
        <v>44</v>
      </c>
      <c r="C135" s="71"/>
      <c r="D135" s="1">
        <f>SUM(D101:D132)</f>
        <v>0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C136" s="64"/>
      <c r="D136" s="1">
        <f>COUNT(D101:D133)*5</f>
        <v>0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C137" s="2" t="s">
        <v>45</v>
      </c>
      <c r="D137" s="11" t="e">
        <f>D135/D136</f>
        <v>#DIV/0!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/>
      <c r="E140" s="29"/>
      <c r="F140" s="42"/>
      <c r="G140" s="42"/>
      <c r="H140" s="42"/>
      <c r="I140" s="42"/>
      <c r="J140" s="42"/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/>
      <c r="E142" s="6"/>
      <c r="F142" s="38"/>
      <c r="G142" s="38"/>
      <c r="H142" s="38"/>
      <c r="I142" s="38"/>
      <c r="J142" s="38"/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/>
      <c r="E143" s="8"/>
      <c r="F143" s="67"/>
      <c r="G143" s="67"/>
      <c r="H143" s="67"/>
      <c r="I143" s="67"/>
      <c r="J143" s="67"/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/>
      <c r="E145" s="8"/>
      <c r="F145" s="67"/>
      <c r="G145" s="67"/>
      <c r="H145" s="67"/>
      <c r="I145" s="67"/>
      <c r="J145" s="67"/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/>
      <c r="E148" s="8"/>
      <c r="F148" s="67"/>
      <c r="G148" s="67"/>
      <c r="H148" s="67"/>
      <c r="I148" s="67"/>
      <c r="J148" s="67"/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/>
      <c r="E149" s="8"/>
      <c r="F149" s="67"/>
      <c r="G149" s="67"/>
      <c r="H149" s="67"/>
      <c r="I149" s="67"/>
      <c r="J149" s="67"/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/>
      <c r="E150" s="8"/>
      <c r="F150" s="67"/>
      <c r="G150" s="67"/>
      <c r="H150" s="67"/>
      <c r="I150" s="67"/>
      <c r="J150" s="67"/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/>
      <c r="E153" s="8"/>
      <c r="F153" s="67"/>
      <c r="G153" s="67"/>
      <c r="H153" s="67"/>
      <c r="I153" s="67"/>
      <c r="J153" s="67"/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/>
      <c r="E154" s="8"/>
      <c r="F154" s="67"/>
      <c r="G154" s="67"/>
      <c r="H154" s="67"/>
      <c r="I154" s="67"/>
      <c r="J154" s="67"/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/>
      <c r="E156" s="8"/>
      <c r="F156" s="67"/>
      <c r="G156" s="67"/>
      <c r="H156" s="67"/>
      <c r="I156" s="67"/>
      <c r="J156" s="67"/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/>
      <c r="E159" s="8"/>
      <c r="F159" s="67"/>
      <c r="G159" s="67"/>
      <c r="H159" s="67"/>
      <c r="I159" s="67"/>
      <c r="J159" s="67"/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/>
      <c r="E160" s="8"/>
      <c r="F160" s="67"/>
      <c r="G160" s="67"/>
      <c r="H160" s="67"/>
      <c r="I160" s="67"/>
      <c r="J160" s="67"/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/>
      <c r="E161" s="8"/>
      <c r="F161" s="67"/>
      <c r="G161" s="67"/>
      <c r="H161" s="67"/>
      <c r="I161" s="67"/>
      <c r="J161" s="67"/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/>
      <c r="E162" s="8"/>
      <c r="F162" s="67"/>
      <c r="G162" s="67"/>
      <c r="H162" s="67"/>
      <c r="I162" s="67"/>
      <c r="J162" s="67"/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/>
      <c r="E163" s="8"/>
      <c r="F163" s="67"/>
      <c r="G163" s="67"/>
      <c r="H163" s="67"/>
      <c r="I163" s="67"/>
      <c r="J163" s="67"/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/>
      <c r="E166" s="8"/>
      <c r="F166" s="67"/>
      <c r="G166" s="67"/>
      <c r="H166" s="67"/>
      <c r="I166" s="67"/>
      <c r="J166" s="67"/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/>
      <c r="E167" s="8"/>
      <c r="F167" s="67"/>
      <c r="G167" s="67"/>
      <c r="H167" s="67"/>
      <c r="I167" s="67"/>
      <c r="J167" s="67"/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/>
      <c r="E168" s="8"/>
      <c r="F168" s="67"/>
      <c r="G168" s="67"/>
      <c r="H168" s="67"/>
      <c r="I168" s="67"/>
      <c r="J168" s="67"/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/>
      <c r="E170" s="8"/>
      <c r="F170" s="67"/>
      <c r="G170" s="67"/>
      <c r="H170" s="67"/>
      <c r="I170" s="67"/>
      <c r="J170" s="67"/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/>
      <c r="E171" s="8"/>
      <c r="F171" s="67"/>
      <c r="G171" s="67"/>
      <c r="H171" s="67"/>
      <c r="I171" s="67"/>
      <c r="J171" s="67"/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7" spans="1:16" ht="15">
      <c r="B177" s="71" t="s">
        <v>44</v>
      </c>
      <c r="C177" s="71"/>
      <c r="D177" s="1">
        <f>SUM(D143:D174)</f>
        <v>0</v>
      </c>
      <c r="E177" s="1">
        <f t="shared" ref="E177:K177" si="9">SUM(E143:E174)</f>
        <v>0</v>
      </c>
      <c r="F177" s="1">
        <f t="shared" si="9"/>
        <v>0</v>
      </c>
      <c r="G177" s="1">
        <f t="shared" si="9"/>
        <v>0</v>
      </c>
      <c r="H177" s="1">
        <f t="shared" si="9"/>
        <v>0</v>
      </c>
      <c r="I177" s="1">
        <f t="shared" si="9"/>
        <v>0</v>
      </c>
      <c r="J177" s="1">
        <f t="shared" si="9"/>
        <v>0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C178" s="64"/>
      <c r="D178" s="1">
        <f>COUNT(D143:D175)*5</f>
        <v>0</v>
      </c>
      <c r="E178" s="1">
        <f t="shared" ref="E178:K178" si="10">COUNT(E143:E175)*5</f>
        <v>0</v>
      </c>
      <c r="F178" s="1">
        <f t="shared" si="10"/>
        <v>0</v>
      </c>
      <c r="G178" s="1">
        <f t="shared" si="10"/>
        <v>0</v>
      </c>
      <c r="H178" s="1">
        <f t="shared" si="10"/>
        <v>0</v>
      </c>
      <c r="I178" s="1">
        <f t="shared" si="10"/>
        <v>0</v>
      </c>
      <c r="J178" s="1">
        <f t="shared" si="10"/>
        <v>0</v>
      </c>
      <c r="K178" s="1">
        <f t="shared" si="10"/>
        <v>0</v>
      </c>
      <c r="M178" s="18" t="e">
        <f>(D179+F179+H179+J179)/4</f>
        <v>#DIV/0!</v>
      </c>
      <c r="N178" s="18" t="e">
        <f>(E179+G179+I179+K179)/4</f>
        <v>#DIV/0!</v>
      </c>
    </row>
    <row r="179" spans="1:16" ht="15">
      <c r="C179" s="2" t="s">
        <v>45</v>
      </c>
      <c r="D179" s="11" t="e">
        <f>D177/D178</f>
        <v>#DIV/0!</v>
      </c>
      <c r="E179" s="11" t="e">
        <f t="shared" ref="E179:K179" si="11">E177/E178</f>
        <v>#DIV/0!</v>
      </c>
      <c r="F179" s="11" t="e">
        <f t="shared" si="11"/>
        <v>#DIV/0!</v>
      </c>
      <c r="G179" s="11" t="e">
        <f t="shared" si="11"/>
        <v>#DIV/0!</v>
      </c>
      <c r="H179" s="11" t="e">
        <f t="shared" si="11"/>
        <v>#DIV/0!</v>
      </c>
      <c r="I179" s="11" t="e">
        <f t="shared" si="11"/>
        <v>#DIV/0!</v>
      </c>
      <c r="J179" s="11" t="e">
        <f t="shared" si="11"/>
        <v>#DIV/0!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/>
      <c r="E182" s="46"/>
      <c r="F182" s="42"/>
      <c r="G182" s="42"/>
      <c r="H182" s="42"/>
      <c r="I182" s="42"/>
      <c r="J182" s="42"/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/>
      <c r="E184" s="7"/>
      <c r="F184" s="38"/>
      <c r="G184" s="38"/>
      <c r="H184" s="38"/>
      <c r="I184" s="38"/>
      <c r="J184" s="38"/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/>
      <c r="E185" s="65"/>
      <c r="F185" s="67"/>
      <c r="G185" s="67"/>
      <c r="H185" s="67"/>
      <c r="I185" s="67"/>
      <c r="J185" s="67"/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/>
      <c r="E187" s="65"/>
      <c r="F187" s="67"/>
      <c r="G187" s="67"/>
      <c r="H187" s="67"/>
      <c r="I187" s="67"/>
      <c r="J187" s="67"/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/>
      <c r="E190" s="65"/>
      <c r="F190" s="67"/>
      <c r="G190" s="67"/>
      <c r="H190" s="67"/>
      <c r="I190" s="67"/>
      <c r="J190" s="67"/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/>
      <c r="E191" s="65"/>
      <c r="F191" s="67"/>
      <c r="G191" s="67"/>
      <c r="H191" s="67"/>
      <c r="I191" s="67"/>
      <c r="J191" s="67"/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/>
      <c r="E192" s="65"/>
      <c r="F192" s="67"/>
      <c r="G192" s="67"/>
      <c r="H192" s="67"/>
      <c r="I192" s="67"/>
      <c r="J192" s="67"/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/>
      <c r="E195" s="65"/>
      <c r="F195" s="67"/>
      <c r="G195" s="67"/>
      <c r="H195" s="67"/>
      <c r="I195" s="67"/>
      <c r="J195" s="67"/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/>
      <c r="E196" s="65"/>
      <c r="F196" s="67"/>
      <c r="G196" s="67"/>
      <c r="H196" s="67"/>
      <c r="I196" s="67"/>
      <c r="J196" s="67"/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/>
      <c r="E198" s="65"/>
      <c r="F198" s="67"/>
      <c r="G198" s="67"/>
      <c r="H198" s="67"/>
      <c r="I198" s="67"/>
      <c r="J198" s="67"/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/>
      <c r="E201" s="65"/>
      <c r="F201" s="67"/>
      <c r="G201" s="67"/>
      <c r="H201" s="67"/>
      <c r="I201" s="67"/>
      <c r="J201" s="67"/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/>
      <c r="E202" s="65"/>
      <c r="F202" s="67"/>
      <c r="G202" s="67"/>
      <c r="H202" s="67"/>
      <c r="I202" s="67"/>
      <c r="J202" s="67"/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/>
      <c r="E203" s="65"/>
      <c r="F203" s="67"/>
      <c r="G203" s="67"/>
      <c r="H203" s="67"/>
      <c r="I203" s="67"/>
      <c r="J203" s="67"/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/>
      <c r="E204" s="65"/>
      <c r="F204" s="67"/>
      <c r="G204" s="67"/>
      <c r="H204" s="67"/>
      <c r="I204" s="67"/>
      <c r="J204" s="67"/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/>
      <c r="E205" s="65"/>
      <c r="F205" s="67"/>
      <c r="G205" s="67"/>
      <c r="H205" s="67"/>
      <c r="I205" s="67"/>
      <c r="J205" s="67"/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/>
      <c r="E208" s="65"/>
      <c r="F208" s="67"/>
      <c r="G208" s="67"/>
      <c r="H208" s="67"/>
      <c r="I208" s="67"/>
      <c r="J208" s="67"/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/>
      <c r="E209" s="65"/>
      <c r="F209" s="67"/>
      <c r="G209" s="67"/>
      <c r="H209" s="67"/>
      <c r="I209" s="67"/>
      <c r="J209" s="67"/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/>
      <c r="E210" s="65"/>
      <c r="F210" s="67"/>
      <c r="G210" s="67"/>
      <c r="H210" s="67"/>
      <c r="I210" s="67"/>
      <c r="J210" s="67"/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/>
      <c r="E212" s="65"/>
      <c r="F212" s="67"/>
      <c r="G212" s="67"/>
      <c r="H212" s="67"/>
      <c r="I212" s="67"/>
      <c r="J212" s="67"/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/>
      <c r="E213" s="65"/>
      <c r="F213" s="67"/>
      <c r="G213" s="67"/>
      <c r="H213" s="67"/>
      <c r="I213" s="67"/>
      <c r="J213" s="67"/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9" spans="1:16" ht="15">
      <c r="B219" s="71" t="s">
        <v>44</v>
      </c>
      <c r="C219" s="71"/>
      <c r="D219" s="1">
        <f>SUM(D185:D216)</f>
        <v>0</v>
      </c>
      <c r="E219" s="1">
        <f t="shared" ref="E219:K219" si="12">SUM(E185:E216)</f>
        <v>0</v>
      </c>
      <c r="F219" s="1">
        <f t="shared" si="12"/>
        <v>0</v>
      </c>
      <c r="G219" s="1">
        <f t="shared" si="12"/>
        <v>0</v>
      </c>
      <c r="H219" s="1">
        <f t="shared" si="12"/>
        <v>0</v>
      </c>
      <c r="I219" s="1">
        <f t="shared" si="12"/>
        <v>0</v>
      </c>
      <c r="J219" s="1">
        <f t="shared" si="12"/>
        <v>0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C220" s="64"/>
      <c r="D220" s="1">
        <f>COUNT(D185:D217)*5</f>
        <v>0</v>
      </c>
      <c r="E220" s="1">
        <f t="shared" ref="E220:K220" si="13">COUNT(E185:E217)*5</f>
        <v>0</v>
      </c>
      <c r="F220" s="1">
        <f t="shared" si="13"/>
        <v>0</v>
      </c>
      <c r="G220" s="1">
        <f t="shared" si="13"/>
        <v>0</v>
      </c>
      <c r="H220" s="1">
        <f t="shared" si="13"/>
        <v>0</v>
      </c>
      <c r="I220" s="1">
        <f t="shared" si="13"/>
        <v>0</v>
      </c>
      <c r="J220" s="1">
        <f t="shared" si="13"/>
        <v>0</v>
      </c>
      <c r="K220" s="1">
        <f t="shared" si="13"/>
        <v>0</v>
      </c>
      <c r="M220" s="18" t="e">
        <f>(D221+F221+H221+J221)/4</f>
        <v>#DIV/0!</v>
      </c>
      <c r="N220" s="18" t="e">
        <f>(E221+G221+I221+K221)/4</f>
        <v>#DIV/0!</v>
      </c>
    </row>
    <row r="221" spans="1:16" ht="15">
      <c r="C221" s="2" t="s">
        <v>45</v>
      </c>
      <c r="D221" s="11" t="e">
        <f>D219/D220</f>
        <v>#DIV/0!</v>
      </c>
      <c r="E221" s="11" t="e">
        <f t="shared" ref="E221:K221" si="14">E219/E220</f>
        <v>#DIV/0!</v>
      </c>
      <c r="F221" s="11" t="e">
        <f t="shared" si="14"/>
        <v>#DIV/0!</v>
      </c>
      <c r="G221" s="11" t="e">
        <f t="shared" si="14"/>
        <v>#DIV/0!</v>
      </c>
      <c r="H221" s="11" t="e">
        <f t="shared" si="14"/>
        <v>#DIV/0!</v>
      </c>
      <c r="I221" s="11" t="e">
        <f t="shared" si="14"/>
        <v>#DIV/0!</v>
      </c>
      <c r="J221" s="11" t="e">
        <f t="shared" si="14"/>
        <v>#DIV/0!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/>
      <c r="E224" s="29"/>
      <c r="F224" s="29"/>
      <c r="G224" s="29"/>
      <c r="H224" s="29"/>
      <c r="I224" s="29"/>
      <c r="J224" s="29"/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/>
      <c r="E226" s="7"/>
      <c r="F226" s="7"/>
      <c r="G226" s="7"/>
      <c r="H226" s="7"/>
      <c r="I226" s="7"/>
      <c r="J226" s="7"/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/>
      <c r="E227" s="65"/>
      <c r="F227" s="65"/>
      <c r="G227" s="65"/>
      <c r="H227" s="65"/>
      <c r="I227" s="65"/>
      <c r="J227" s="65"/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/>
      <c r="E229" s="65"/>
      <c r="F229" s="65"/>
      <c r="G229" s="65"/>
      <c r="H229" s="65"/>
      <c r="I229" s="65"/>
      <c r="J229" s="65"/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/>
      <c r="E232" s="65"/>
      <c r="F232" s="65"/>
      <c r="G232" s="65"/>
      <c r="H232" s="65"/>
      <c r="I232" s="65"/>
      <c r="J232" s="65"/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/>
      <c r="E233" s="65"/>
      <c r="F233" s="65"/>
      <c r="G233" s="65"/>
      <c r="H233" s="65"/>
      <c r="I233" s="65"/>
      <c r="J233" s="65"/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/>
      <c r="E234" s="65"/>
      <c r="F234" s="65"/>
      <c r="G234" s="65"/>
      <c r="H234" s="65"/>
      <c r="I234" s="65"/>
      <c r="J234" s="65"/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/>
      <c r="E237" s="65"/>
      <c r="F237" s="65"/>
      <c r="G237" s="65"/>
      <c r="H237" s="65"/>
      <c r="I237" s="65"/>
      <c r="J237" s="65"/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/>
      <c r="E238" s="65"/>
      <c r="F238" s="65"/>
      <c r="G238" s="65"/>
      <c r="H238" s="65"/>
      <c r="I238" s="65"/>
      <c r="J238" s="65"/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/>
      <c r="E240" s="65"/>
      <c r="F240" s="65"/>
      <c r="G240" s="65"/>
      <c r="H240" s="65"/>
      <c r="I240" s="65"/>
      <c r="J240" s="65"/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/>
      <c r="E243" s="65"/>
      <c r="F243" s="65"/>
      <c r="G243" s="65"/>
      <c r="H243" s="65"/>
      <c r="I243" s="65"/>
      <c r="J243" s="65"/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/>
      <c r="E244" s="65"/>
      <c r="F244" s="65"/>
      <c r="G244" s="65"/>
      <c r="H244" s="65"/>
      <c r="I244" s="65"/>
      <c r="J244" s="65"/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/>
      <c r="E245" s="65"/>
      <c r="F245" s="65"/>
      <c r="G245" s="65"/>
      <c r="H245" s="65"/>
      <c r="I245" s="65"/>
      <c r="J245" s="65"/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/>
      <c r="E246" s="65"/>
      <c r="F246" s="65"/>
      <c r="G246" s="65"/>
      <c r="H246" s="65"/>
      <c r="I246" s="65"/>
      <c r="J246" s="65"/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/>
      <c r="E247" s="65"/>
      <c r="F247" s="65"/>
      <c r="G247" s="65"/>
      <c r="H247" s="65"/>
      <c r="I247" s="65"/>
      <c r="J247" s="65"/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/>
      <c r="E250" s="65"/>
      <c r="F250" s="65"/>
      <c r="G250" s="65"/>
      <c r="H250" s="65"/>
      <c r="I250" s="65"/>
      <c r="J250" s="65"/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/>
      <c r="E251" s="65"/>
      <c r="F251" s="65"/>
      <c r="G251" s="65"/>
      <c r="H251" s="65"/>
      <c r="I251" s="65"/>
      <c r="J251" s="65"/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/>
      <c r="E252" s="65"/>
      <c r="F252" s="65"/>
      <c r="G252" s="65"/>
      <c r="H252" s="65"/>
      <c r="I252" s="65"/>
      <c r="J252" s="65"/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/>
      <c r="E254" s="65"/>
      <c r="F254" s="65"/>
      <c r="G254" s="65"/>
      <c r="H254" s="65"/>
      <c r="I254" s="65"/>
      <c r="J254" s="65"/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/>
      <c r="E255" s="65"/>
      <c r="F255" s="65"/>
      <c r="G255" s="65"/>
      <c r="H255" s="65"/>
      <c r="I255" s="65"/>
      <c r="J255" s="65"/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/>
      <c r="E258" s="65"/>
      <c r="F258" s="65"/>
      <c r="G258" s="65"/>
      <c r="H258" s="65"/>
      <c r="I258" s="65"/>
      <c r="J258" s="65"/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D260" s="64"/>
      <c r="E260" s="64"/>
      <c r="F260" s="64"/>
      <c r="G260" s="64"/>
      <c r="H260" s="64"/>
      <c r="I260" s="64"/>
      <c r="J260" s="64"/>
      <c r="K260" s="64"/>
    </row>
    <row r="261" spans="1:16" ht="15">
      <c r="B261" s="71" t="s">
        <v>44</v>
      </c>
      <c r="C261" s="71"/>
      <c r="D261" s="1">
        <f>SUM(D227:D258)</f>
        <v>0</v>
      </c>
      <c r="E261" s="1">
        <f t="shared" ref="E261:K261" si="15">SUM(E227:E258)</f>
        <v>0</v>
      </c>
      <c r="F261" s="1">
        <f t="shared" si="15"/>
        <v>0</v>
      </c>
      <c r="G261" s="1">
        <f t="shared" si="15"/>
        <v>0</v>
      </c>
      <c r="H261" s="1">
        <f t="shared" si="15"/>
        <v>0</v>
      </c>
      <c r="I261" s="1">
        <f t="shared" si="15"/>
        <v>0</v>
      </c>
      <c r="J261" s="1">
        <f t="shared" si="15"/>
        <v>0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C262" s="64"/>
      <c r="D262" s="1">
        <f>COUNT(D227:D259)*5</f>
        <v>0</v>
      </c>
      <c r="E262" s="1">
        <f t="shared" ref="E262:K262" si="16">COUNT(E227:E259)*5</f>
        <v>0</v>
      </c>
      <c r="F262" s="1">
        <f t="shared" si="16"/>
        <v>0</v>
      </c>
      <c r="G262" s="1">
        <f t="shared" si="16"/>
        <v>0</v>
      </c>
      <c r="H262" s="1">
        <f t="shared" si="16"/>
        <v>0</v>
      </c>
      <c r="I262" s="1">
        <f t="shared" si="16"/>
        <v>0</v>
      </c>
      <c r="J262" s="1">
        <f t="shared" si="16"/>
        <v>0</v>
      </c>
      <c r="K262" s="1">
        <f t="shared" si="16"/>
        <v>0</v>
      </c>
      <c r="M262" s="18" t="e">
        <f>(D263+F263+H263+J263)/4</f>
        <v>#DIV/0!</v>
      </c>
      <c r="N262" s="18" t="e">
        <f>(E263+G263+I263+K263)/4</f>
        <v>#DIV/0!</v>
      </c>
    </row>
    <row r="263" spans="1:16" ht="15">
      <c r="C263" s="2" t="s">
        <v>45</v>
      </c>
      <c r="D263" s="11" t="e">
        <f>D261/D262</f>
        <v>#DIV/0!</v>
      </c>
      <c r="E263" s="11" t="e">
        <f t="shared" ref="E263:K263" si="17">E261/E262</f>
        <v>#DIV/0!</v>
      </c>
      <c r="F263" s="11" t="e">
        <f t="shared" si="17"/>
        <v>#DIV/0!</v>
      </c>
      <c r="G263" s="11" t="e">
        <f t="shared" si="17"/>
        <v>#DIV/0!</v>
      </c>
      <c r="H263" s="11" t="e">
        <f t="shared" si="17"/>
        <v>#DIV/0!</v>
      </c>
      <c r="I263" s="11" t="e">
        <f t="shared" si="17"/>
        <v>#DIV/0!</v>
      </c>
      <c r="J263" s="11" t="e">
        <f t="shared" si="17"/>
        <v>#DIV/0!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/>
      <c r="E266" s="55"/>
      <c r="F266" s="55"/>
      <c r="G266" s="55"/>
      <c r="H266" s="55"/>
      <c r="I266" s="55"/>
      <c r="J266" s="55"/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/>
      <c r="E268" s="54"/>
      <c r="F268" s="54"/>
      <c r="G268" s="54"/>
      <c r="H268" s="54"/>
      <c r="I268" s="54"/>
      <c r="J268" s="54"/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/>
      <c r="E269" s="56"/>
      <c r="F269" s="56"/>
      <c r="G269" s="56"/>
      <c r="H269" s="56"/>
      <c r="I269" s="56"/>
      <c r="J269" s="56"/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/>
      <c r="E271" s="56"/>
      <c r="F271" s="56"/>
      <c r="G271" s="56"/>
      <c r="H271" s="56"/>
      <c r="I271" s="56"/>
      <c r="J271" s="56"/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/>
      <c r="E274" s="56"/>
      <c r="F274" s="56"/>
      <c r="G274" s="56"/>
      <c r="H274" s="56"/>
      <c r="I274" s="56"/>
      <c r="J274" s="56"/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/>
      <c r="E275" s="56"/>
      <c r="F275" s="56"/>
      <c r="G275" s="56"/>
      <c r="H275" s="56"/>
      <c r="I275" s="56"/>
      <c r="J275" s="56"/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/>
      <c r="E276" s="56"/>
      <c r="F276" s="56"/>
      <c r="G276" s="56"/>
      <c r="H276" s="56"/>
      <c r="I276" s="56"/>
      <c r="J276" s="56"/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/>
      <c r="E279" s="56"/>
      <c r="F279" s="56"/>
      <c r="G279" s="56"/>
      <c r="H279" s="56"/>
      <c r="I279" s="56"/>
      <c r="J279" s="56"/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/>
      <c r="E280" s="56"/>
      <c r="F280" s="56"/>
      <c r="G280" s="56"/>
      <c r="H280" s="56"/>
      <c r="I280" s="56"/>
      <c r="J280" s="56"/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/>
      <c r="E282" s="56"/>
      <c r="F282" s="56"/>
      <c r="G282" s="56"/>
      <c r="H282" s="56"/>
      <c r="I282" s="56"/>
      <c r="J282" s="56"/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/>
      <c r="E285" s="56"/>
      <c r="F285" s="56"/>
      <c r="G285" s="56"/>
      <c r="H285" s="56"/>
      <c r="I285" s="56"/>
      <c r="J285" s="56"/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/>
      <c r="E286" s="56"/>
      <c r="F286" s="56"/>
      <c r="G286" s="56"/>
      <c r="H286" s="56"/>
      <c r="I286" s="56"/>
      <c r="J286" s="56"/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/>
      <c r="E287" s="56"/>
      <c r="F287" s="56"/>
      <c r="G287" s="56"/>
      <c r="H287" s="56"/>
      <c r="I287" s="56"/>
      <c r="J287" s="56"/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/>
      <c r="E288" s="56"/>
      <c r="F288" s="56"/>
      <c r="G288" s="56"/>
      <c r="H288" s="56"/>
      <c r="I288" s="56"/>
      <c r="J288" s="56"/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/>
      <c r="E289" s="56"/>
      <c r="F289" s="56"/>
      <c r="G289" s="56"/>
      <c r="H289" s="56"/>
      <c r="I289" s="56"/>
      <c r="J289" s="56"/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/>
      <c r="E292" s="56"/>
      <c r="F292" s="56"/>
      <c r="G292" s="56"/>
      <c r="H292" s="56"/>
      <c r="I292" s="56"/>
      <c r="J292" s="56"/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/>
      <c r="E293" s="56"/>
      <c r="F293" s="56"/>
      <c r="G293" s="56"/>
      <c r="H293" s="56"/>
      <c r="I293" s="56"/>
      <c r="J293" s="56"/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/>
      <c r="E294" s="56"/>
      <c r="F294" s="56"/>
      <c r="G294" s="56"/>
      <c r="H294" s="56"/>
      <c r="I294" s="56"/>
      <c r="J294" s="56"/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/>
      <c r="E296" s="56"/>
      <c r="F296" s="56"/>
      <c r="G296" s="56"/>
      <c r="H296" s="56"/>
      <c r="I296" s="56"/>
      <c r="J296" s="56"/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/>
      <c r="E297" s="56"/>
      <c r="F297" s="56"/>
      <c r="G297" s="56"/>
      <c r="H297" s="56"/>
      <c r="I297" s="56"/>
      <c r="J297" s="56"/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/>
      <c r="E300" s="56"/>
      <c r="F300" s="56"/>
      <c r="G300" s="56"/>
      <c r="H300" s="56"/>
      <c r="I300" s="56"/>
      <c r="J300" s="56"/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3" spans="1:16" ht="15">
      <c r="B303" s="71" t="s">
        <v>44</v>
      </c>
      <c r="C303" s="71"/>
      <c r="D303" s="1">
        <f>SUM(D269:D300)</f>
        <v>0</v>
      </c>
      <c r="E303" s="1">
        <f t="shared" ref="E303:K303" si="18">SUM(E269:E300)</f>
        <v>0</v>
      </c>
      <c r="F303" s="1">
        <f t="shared" si="18"/>
        <v>0</v>
      </c>
      <c r="G303" s="1">
        <f t="shared" si="18"/>
        <v>0</v>
      </c>
      <c r="H303" s="1">
        <f t="shared" si="18"/>
        <v>0</v>
      </c>
      <c r="I303" s="1">
        <f t="shared" si="18"/>
        <v>0</v>
      </c>
      <c r="J303" s="1">
        <f t="shared" si="18"/>
        <v>0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C304" s="64"/>
      <c r="D304" s="1">
        <f>COUNT(D269:D301)*5</f>
        <v>0</v>
      </c>
      <c r="E304" s="1">
        <f t="shared" ref="E304:K304" si="19">COUNT(E269:E301)*5</f>
        <v>0</v>
      </c>
      <c r="F304" s="1">
        <f t="shared" si="19"/>
        <v>0</v>
      </c>
      <c r="G304" s="1">
        <f t="shared" si="19"/>
        <v>0</v>
      </c>
      <c r="H304" s="1">
        <f t="shared" si="19"/>
        <v>0</v>
      </c>
      <c r="I304" s="1">
        <f t="shared" si="19"/>
        <v>0</v>
      </c>
      <c r="J304" s="1">
        <f t="shared" si="19"/>
        <v>0</v>
      </c>
      <c r="K304" s="1">
        <f t="shared" si="19"/>
        <v>0</v>
      </c>
      <c r="M304" s="18" t="e">
        <f>(D305+F305+H305+J305)/4</f>
        <v>#DIV/0!</v>
      </c>
      <c r="N304" s="18" t="e">
        <f>(E305+G305+I305+K305)/4</f>
        <v>#DIV/0!</v>
      </c>
    </row>
    <row r="305" spans="1:16" ht="15">
      <c r="C305" s="2" t="s">
        <v>45</v>
      </c>
      <c r="D305" s="11" t="e">
        <f>D303/D304</f>
        <v>#DIV/0!</v>
      </c>
      <c r="E305" s="11" t="e">
        <f t="shared" ref="E305:K305" si="20">E303/E304</f>
        <v>#DIV/0!</v>
      </c>
      <c r="F305" s="11" t="e">
        <f t="shared" si="20"/>
        <v>#DIV/0!</v>
      </c>
      <c r="G305" s="11" t="e">
        <f t="shared" si="20"/>
        <v>#DIV/0!</v>
      </c>
      <c r="H305" s="11" t="e">
        <f t="shared" si="20"/>
        <v>#DIV/0!</v>
      </c>
      <c r="I305" s="11" t="e">
        <f t="shared" si="20"/>
        <v>#DIV/0!</v>
      </c>
      <c r="J305" s="11" t="e">
        <f t="shared" si="20"/>
        <v>#DIV/0!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/>
      <c r="E308" s="46"/>
      <c r="F308" s="46"/>
      <c r="G308" s="46"/>
      <c r="H308" s="46"/>
      <c r="I308" s="46"/>
      <c r="J308" s="46"/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/>
      <c r="E310" s="7"/>
      <c r="F310" s="7"/>
      <c r="G310" s="7"/>
      <c r="H310" s="7"/>
      <c r="I310" s="7"/>
      <c r="J310" s="7"/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/>
      <c r="E311" s="65"/>
      <c r="F311" s="65"/>
      <c r="G311" s="65"/>
      <c r="H311" s="65"/>
      <c r="I311" s="65"/>
      <c r="J311" s="65"/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/>
      <c r="E313" s="65"/>
      <c r="F313" s="65"/>
      <c r="G313" s="65"/>
      <c r="H313" s="65"/>
      <c r="I313" s="65"/>
      <c r="J313" s="65"/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/>
      <c r="E316" s="65"/>
      <c r="F316" s="65"/>
      <c r="G316" s="65"/>
      <c r="H316" s="65"/>
      <c r="I316" s="65"/>
      <c r="J316" s="65"/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/>
      <c r="E317" s="65"/>
      <c r="F317" s="65"/>
      <c r="G317" s="65"/>
      <c r="H317" s="65"/>
      <c r="I317" s="65"/>
      <c r="J317" s="65"/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/>
      <c r="E318" s="65"/>
      <c r="F318" s="65"/>
      <c r="G318" s="65"/>
      <c r="H318" s="65"/>
      <c r="I318" s="65"/>
      <c r="J318" s="65"/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/>
      <c r="E321" s="65"/>
      <c r="F321" s="65"/>
      <c r="G321" s="65"/>
      <c r="H321" s="65"/>
      <c r="I321" s="65"/>
      <c r="J321" s="65"/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/>
      <c r="E322" s="65"/>
      <c r="F322" s="65"/>
      <c r="G322" s="65"/>
      <c r="H322" s="65"/>
      <c r="I322" s="65"/>
      <c r="J322" s="65"/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/>
      <c r="E324" s="65"/>
      <c r="F324" s="65"/>
      <c r="G324" s="65"/>
      <c r="H324" s="65"/>
      <c r="I324" s="65"/>
      <c r="J324" s="65"/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/>
      <c r="E327" s="65"/>
      <c r="F327" s="65"/>
      <c r="G327" s="65"/>
      <c r="H327" s="65"/>
      <c r="I327" s="65"/>
      <c r="J327" s="65"/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/>
      <c r="E328" s="65"/>
      <c r="F328" s="65"/>
      <c r="G328" s="65"/>
      <c r="H328" s="65"/>
      <c r="I328" s="65"/>
      <c r="J328" s="65"/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/>
      <c r="E329" s="65"/>
      <c r="F329" s="65"/>
      <c r="G329" s="65"/>
      <c r="H329" s="65"/>
      <c r="I329" s="65"/>
      <c r="J329" s="65"/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/>
      <c r="E330" s="65"/>
      <c r="F330" s="65"/>
      <c r="G330" s="65"/>
      <c r="H330" s="65"/>
      <c r="I330" s="65"/>
      <c r="J330" s="65"/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/>
      <c r="E331" s="65"/>
      <c r="F331" s="65"/>
      <c r="G331" s="65"/>
      <c r="H331" s="65"/>
      <c r="I331" s="65"/>
      <c r="J331" s="65"/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/>
      <c r="E334" s="65"/>
      <c r="F334" s="65"/>
      <c r="G334" s="65"/>
      <c r="H334" s="65"/>
      <c r="I334" s="65"/>
      <c r="J334" s="65"/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/>
      <c r="E335" s="65"/>
      <c r="F335" s="65"/>
      <c r="G335" s="65"/>
      <c r="H335" s="65"/>
      <c r="I335" s="65"/>
      <c r="J335" s="65"/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/>
      <c r="E336" s="65"/>
      <c r="F336" s="65"/>
      <c r="G336" s="65"/>
      <c r="H336" s="65"/>
      <c r="I336" s="65"/>
      <c r="J336" s="65"/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/>
      <c r="E338" s="65"/>
      <c r="F338" s="65"/>
      <c r="G338" s="65"/>
      <c r="H338" s="65"/>
      <c r="I338" s="65"/>
      <c r="J338" s="65"/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/>
      <c r="E339" s="65"/>
      <c r="F339" s="65"/>
      <c r="G339" s="65"/>
      <c r="H339" s="65"/>
      <c r="I339" s="65"/>
      <c r="J339" s="65"/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/>
      <c r="E342" s="65"/>
      <c r="F342" s="65"/>
      <c r="G342" s="65"/>
      <c r="H342" s="65"/>
      <c r="I342" s="65"/>
      <c r="J342" s="65"/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5" spans="1:16" ht="15">
      <c r="B345" s="71" t="s">
        <v>44</v>
      </c>
      <c r="C345" s="71"/>
      <c r="D345" s="1">
        <f>SUM(D311:D342)</f>
        <v>0</v>
      </c>
      <c r="E345" s="1">
        <f t="shared" ref="E345:K345" si="21">SUM(E311:E342)</f>
        <v>0</v>
      </c>
      <c r="F345" s="1">
        <f t="shared" si="21"/>
        <v>0</v>
      </c>
      <c r="G345" s="1">
        <f t="shared" si="21"/>
        <v>0</v>
      </c>
      <c r="H345" s="1">
        <f t="shared" si="21"/>
        <v>0</v>
      </c>
      <c r="I345" s="1">
        <f t="shared" si="21"/>
        <v>0</v>
      </c>
      <c r="J345" s="1">
        <f t="shared" si="21"/>
        <v>0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C346" s="64"/>
      <c r="D346" s="1">
        <f>COUNT(D311:D343)*5</f>
        <v>0</v>
      </c>
      <c r="E346" s="1">
        <f t="shared" ref="E346:K346" si="22">COUNT(E311:E343)*5</f>
        <v>0</v>
      </c>
      <c r="F346" s="1">
        <f t="shared" si="22"/>
        <v>0</v>
      </c>
      <c r="G346" s="1">
        <f t="shared" si="22"/>
        <v>0</v>
      </c>
      <c r="H346" s="1">
        <f t="shared" si="22"/>
        <v>0</v>
      </c>
      <c r="I346" s="1">
        <f t="shared" si="22"/>
        <v>0</v>
      </c>
      <c r="J346" s="1">
        <f t="shared" si="22"/>
        <v>0</v>
      </c>
      <c r="K346" s="1">
        <f t="shared" si="22"/>
        <v>0</v>
      </c>
      <c r="M346" s="18" t="e">
        <f>(D347+F347+H347+J347)/4</f>
        <v>#DIV/0!</v>
      </c>
      <c r="N346" s="18" t="e">
        <f>(E347+G347+I347+K347)/4</f>
        <v>#DIV/0!</v>
      </c>
    </row>
    <row r="347" spans="1:16" ht="15">
      <c r="C347" s="2" t="s">
        <v>45</v>
      </c>
      <c r="D347" s="11" t="e">
        <f>D345/D346</f>
        <v>#DIV/0!</v>
      </c>
      <c r="E347" s="11" t="e">
        <f t="shared" ref="E347:K347" si="23">E345/E346</f>
        <v>#DIV/0!</v>
      </c>
      <c r="F347" s="11" t="e">
        <f t="shared" si="23"/>
        <v>#DIV/0!</v>
      </c>
      <c r="G347" s="11" t="e">
        <f t="shared" si="23"/>
        <v>#DIV/0!</v>
      </c>
      <c r="H347" s="11" t="e">
        <f t="shared" si="23"/>
        <v>#DIV/0!</v>
      </c>
      <c r="I347" s="11" t="e">
        <f t="shared" si="23"/>
        <v>#DIV/0!</v>
      </c>
      <c r="J347" s="11" t="e">
        <f t="shared" si="23"/>
        <v>#DIV/0!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/>
      <c r="E350" s="29"/>
      <c r="F350" s="29"/>
      <c r="G350" s="29"/>
      <c r="H350" s="29"/>
      <c r="I350" s="29"/>
      <c r="J350" s="29"/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/>
      <c r="E352" s="6"/>
      <c r="F352" s="6"/>
      <c r="G352" s="6"/>
      <c r="H352" s="6"/>
      <c r="I352" s="6"/>
      <c r="J352" s="6"/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</mergeCells>
  <hyperlinks>
    <hyperlink ref="B2" location="'ALL STAFF'!A1" display="&lt;BACK" xr:uid="{3080C65E-6EE0-40B7-A121-BF8104F6A00D}"/>
    <hyperlink ref="C13" location="'ALL STAFF'!A1" display="&lt;BACK" xr:uid="{A2315CA9-1E9B-4880-9C7F-61F8D5E58129}"/>
    <hyperlink ref="C55" location="'ALL STAFF'!A1" display="&lt;BACK" xr:uid="{8EA0DC30-87D7-458C-AE2B-0C7F6B6E97D1}"/>
    <hyperlink ref="C97" location="'ALL STAFF'!A1" display="&lt;BACK" xr:uid="{D6948EC8-F0D7-44E3-A995-64BE7DBDFF4F}"/>
    <hyperlink ref="C139" location="'ALL STAFF'!A1" display="&lt;BACK" xr:uid="{28D19298-AC5E-4149-AE6F-F5376370A646}"/>
    <hyperlink ref="C181" location="'ALL STAFF'!A1" display="&lt;BACK" xr:uid="{3D2A4316-8C28-42BB-A8A9-BD5CD400B7C9}"/>
    <hyperlink ref="C223" location="'ALL STAFF'!A1" display="&lt;BACK" xr:uid="{62BE25F7-4882-4039-BCB6-761585FC4D58}"/>
    <hyperlink ref="C265" location="'ALL STAFF'!A1" display="&lt;BACK" xr:uid="{844C46D0-B715-44E7-BEEF-98DC44CBD60B}"/>
    <hyperlink ref="C307" location="'ALL STAFF'!A1" display="&lt;BACK" xr:uid="{F744478B-E905-48B5-B21E-CC4AD20BAE46}"/>
    <hyperlink ref="C349" location="'ALL STAFF'!A1" display="&lt;BACK" xr:uid="{F145D865-4825-4AA4-8163-CFA96C02C1D8}"/>
    <hyperlink ref="C391" location="'ALL STAFF'!A1" display="&lt;BACK" xr:uid="{981F4105-EE6C-4FA8-9564-AA95F85C9BE3}"/>
    <hyperlink ref="C433" location="'ALL STAFF'!A1" display="&lt;BACK" xr:uid="{6D623D38-C8A2-4100-A60F-1CFD16E38B96}"/>
    <hyperlink ref="C475" location="'ALL STAFF'!A1" display="&lt;BACK" xr:uid="{1F3DBD5A-6AA1-49CE-927F-83D5786F5135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86DB09-77F8-4874-B632-43A7124D557E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C1D0-0275-450F-8246-AA575807461B}">
  <sheetPr codeName="Sheet7"/>
  <dimension ref="A1:T515"/>
  <sheetViews>
    <sheetView topLeftCell="A303" zoomScale="80" zoomScaleNormal="80" workbookViewId="0">
      <selection activeCell="I327" sqref="I327"/>
    </sheetView>
  </sheetViews>
  <sheetFormatPr defaultRowHeight="14.25"/>
  <cols>
    <col min="1" max="1" width="5" customWidth="1"/>
    <col min="2" max="2" width="52.625" style="43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44" t="s">
        <v>6</v>
      </c>
      <c r="R2" s="20">
        <v>46023</v>
      </c>
      <c r="S2" s="21">
        <f>M52</f>
        <v>0.81052631578947365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>
        <f>M178</f>
        <v>0.8</v>
      </c>
      <c r="T5" s="21" t="e">
        <f>N178</f>
        <v>#DIV/0!</v>
      </c>
    </row>
    <row r="6" spans="1:20" ht="15">
      <c r="A6" s="27">
        <v>3</v>
      </c>
      <c r="R6" s="20">
        <v>46143</v>
      </c>
      <c r="S6" s="21">
        <f>M220</f>
        <v>0.8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>
        <v>46037</v>
      </c>
      <c r="E14" s="46"/>
      <c r="F14" s="46">
        <v>46046</v>
      </c>
      <c r="G14" s="46"/>
      <c r="H14" s="46">
        <v>46053</v>
      </c>
      <c r="I14" s="46"/>
      <c r="J14" s="46">
        <v>46060</v>
      </c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 t="s">
        <v>78</v>
      </c>
      <c r="E16" s="7"/>
      <c r="F16" s="7" t="s">
        <v>78</v>
      </c>
      <c r="G16" s="7"/>
      <c r="H16" s="7" t="s">
        <v>78</v>
      </c>
      <c r="I16" s="7"/>
      <c r="J16" s="7" t="s">
        <v>78</v>
      </c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>
        <v>5</v>
      </c>
      <c r="E17" s="67"/>
      <c r="F17" s="67">
        <v>5</v>
      </c>
      <c r="G17" s="67"/>
      <c r="H17" s="67">
        <v>5</v>
      </c>
      <c r="I17" s="67"/>
      <c r="J17" s="67">
        <v>5</v>
      </c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>
        <v>4</v>
      </c>
      <c r="E19" s="67"/>
      <c r="F19" s="67">
        <v>4</v>
      </c>
      <c r="G19" s="67"/>
      <c r="H19" s="67">
        <v>4</v>
      </c>
      <c r="I19" s="67"/>
      <c r="J19" s="67">
        <v>4</v>
      </c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>
        <v>4</v>
      </c>
      <c r="E22" s="67"/>
      <c r="F22" s="67">
        <v>4</v>
      </c>
      <c r="G22" s="67"/>
      <c r="H22" s="67">
        <v>4</v>
      </c>
      <c r="I22" s="67"/>
      <c r="J22" s="67">
        <v>4</v>
      </c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>
        <v>4</v>
      </c>
      <c r="E23" s="67"/>
      <c r="F23" s="67">
        <v>4</v>
      </c>
      <c r="G23" s="67"/>
      <c r="H23" s="67">
        <v>4</v>
      </c>
      <c r="I23" s="67"/>
      <c r="J23" s="67">
        <v>4</v>
      </c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>
        <v>4</v>
      </c>
      <c r="E24" s="67"/>
      <c r="F24" s="67">
        <v>4</v>
      </c>
      <c r="G24" s="67"/>
      <c r="H24" s="67">
        <v>4</v>
      </c>
      <c r="I24" s="67"/>
      <c r="J24" s="67">
        <v>4</v>
      </c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>
        <v>4</v>
      </c>
      <c r="E27" s="67"/>
      <c r="F27" s="67">
        <v>4</v>
      </c>
      <c r="G27" s="67"/>
      <c r="H27" s="67">
        <v>4</v>
      </c>
      <c r="I27" s="67"/>
      <c r="J27" s="67">
        <v>4</v>
      </c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>
        <v>4</v>
      </c>
      <c r="E28" s="67"/>
      <c r="F28" s="67">
        <v>4</v>
      </c>
      <c r="G28" s="67"/>
      <c r="H28" s="67">
        <v>4</v>
      </c>
      <c r="I28" s="67"/>
      <c r="J28" s="67">
        <v>4</v>
      </c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>
        <v>4</v>
      </c>
      <c r="E30" s="67"/>
      <c r="F30" s="67">
        <v>4</v>
      </c>
      <c r="G30" s="67"/>
      <c r="H30" s="67">
        <v>4</v>
      </c>
      <c r="I30" s="67"/>
      <c r="J30" s="67">
        <v>4</v>
      </c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>
        <v>4</v>
      </c>
      <c r="E33" s="67"/>
      <c r="F33" s="67">
        <v>4</v>
      </c>
      <c r="G33" s="67"/>
      <c r="H33" s="67">
        <v>4</v>
      </c>
      <c r="I33" s="67"/>
      <c r="J33" s="67">
        <v>4</v>
      </c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>
        <v>4</v>
      </c>
      <c r="E34" s="67"/>
      <c r="F34" s="67">
        <v>4</v>
      </c>
      <c r="G34" s="67"/>
      <c r="H34" s="67">
        <v>4</v>
      </c>
      <c r="I34" s="67"/>
      <c r="J34" s="67">
        <v>4</v>
      </c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>
        <v>4</v>
      </c>
      <c r="E35" s="67"/>
      <c r="F35" s="67">
        <v>4</v>
      </c>
      <c r="G35" s="67"/>
      <c r="H35" s="67">
        <v>4</v>
      </c>
      <c r="I35" s="67"/>
      <c r="J35" s="67">
        <v>4</v>
      </c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>
        <v>4</v>
      </c>
      <c r="E36" s="67"/>
      <c r="F36" s="67">
        <v>4</v>
      </c>
      <c r="G36" s="67"/>
      <c r="H36" s="67">
        <v>4</v>
      </c>
      <c r="I36" s="67"/>
      <c r="J36" s="67">
        <v>4</v>
      </c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>
        <v>4</v>
      </c>
      <c r="E37" s="67"/>
      <c r="F37" s="67">
        <v>4</v>
      </c>
      <c r="G37" s="67"/>
      <c r="H37" s="67">
        <v>4</v>
      </c>
      <c r="I37" s="67"/>
      <c r="J37" s="67">
        <v>4</v>
      </c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>
        <v>4</v>
      </c>
      <c r="E40" s="67"/>
      <c r="F40" s="67">
        <v>4</v>
      </c>
      <c r="G40" s="67"/>
      <c r="H40" s="67">
        <v>4</v>
      </c>
      <c r="I40" s="67"/>
      <c r="J40" s="67">
        <v>4</v>
      </c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>
        <v>4</v>
      </c>
      <c r="E41" s="67"/>
      <c r="F41" s="67">
        <v>4</v>
      </c>
      <c r="G41" s="67"/>
      <c r="H41" s="67">
        <v>4</v>
      </c>
      <c r="I41" s="67"/>
      <c r="J41" s="67">
        <v>4</v>
      </c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>
        <v>4</v>
      </c>
      <c r="E42" s="67"/>
      <c r="F42" s="67">
        <v>4</v>
      </c>
      <c r="G42" s="67"/>
      <c r="H42" s="67">
        <v>4</v>
      </c>
      <c r="I42" s="67"/>
      <c r="J42" s="67">
        <v>4</v>
      </c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>
        <v>4</v>
      </c>
      <c r="E44" s="67"/>
      <c r="F44" s="67">
        <v>4</v>
      </c>
      <c r="G44" s="67"/>
      <c r="H44" s="67">
        <v>4</v>
      </c>
      <c r="I44" s="67"/>
      <c r="J44" s="67">
        <v>4</v>
      </c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>
        <v>4</v>
      </c>
      <c r="E45" s="67"/>
      <c r="F45" s="67">
        <v>4</v>
      </c>
      <c r="G45" s="67"/>
      <c r="H45" s="67">
        <v>4</v>
      </c>
      <c r="I45" s="67"/>
      <c r="J45" s="67">
        <v>4</v>
      </c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>
        <v>4</v>
      </c>
      <c r="E48" s="67"/>
      <c r="F48" s="67">
        <v>4</v>
      </c>
      <c r="G48" s="67"/>
      <c r="H48" s="67">
        <v>4</v>
      </c>
      <c r="I48" s="67"/>
      <c r="J48" s="67">
        <v>4</v>
      </c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0" spans="1:16">
      <c r="B50"/>
    </row>
    <row r="51" spans="1:16" ht="15">
      <c r="B51" s="71" t="s">
        <v>44</v>
      </c>
      <c r="C51" s="71"/>
      <c r="D51" s="1">
        <f>SUM(D17:D48)</f>
        <v>77</v>
      </c>
      <c r="E51" s="1">
        <f t="shared" ref="E51:K51" si="0">SUM(E17:E48)</f>
        <v>0</v>
      </c>
      <c r="F51" s="1">
        <f t="shared" si="0"/>
        <v>77</v>
      </c>
      <c r="G51" s="1">
        <f t="shared" si="0"/>
        <v>0</v>
      </c>
      <c r="H51" s="1">
        <f t="shared" si="0"/>
        <v>77</v>
      </c>
      <c r="I51" s="1">
        <f t="shared" si="0"/>
        <v>0</v>
      </c>
      <c r="J51" s="1">
        <f t="shared" si="0"/>
        <v>77</v>
      </c>
      <c r="K51" s="1">
        <f t="shared" si="0"/>
        <v>0</v>
      </c>
      <c r="M51" s="17" t="s">
        <v>2</v>
      </c>
      <c r="N51" s="17" t="s">
        <v>3</v>
      </c>
    </row>
    <row r="52" spans="1:16" ht="15">
      <c r="B52"/>
      <c r="C52" s="64"/>
      <c r="D52" s="1">
        <f>COUNT(D17:D49)*5</f>
        <v>95</v>
      </c>
      <c r="E52" s="1">
        <f t="shared" ref="E52:K52" si="1">COUNT(E17:E49)*5</f>
        <v>0</v>
      </c>
      <c r="F52" s="1">
        <f t="shared" si="1"/>
        <v>95</v>
      </c>
      <c r="G52" s="1">
        <f t="shared" si="1"/>
        <v>0</v>
      </c>
      <c r="H52" s="1">
        <f t="shared" si="1"/>
        <v>95</v>
      </c>
      <c r="I52" s="1">
        <f t="shared" si="1"/>
        <v>0</v>
      </c>
      <c r="J52" s="1">
        <f t="shared" si="1"/>
        <v>95</v>
      </c>
      <c r="K52" s="1">
        <f t="shared" si="1"/>
        <v>0</v>
      </c>
      <c r="M52" s="18">
        <f>(D53+F53+H53+J53)/4</f>
        <v>0.81052631578947365</v>
      </c>
      <c r="N52" s="18" t="e">
        <f>(E53+G53+I53+K53)/4</f>
        <v>#DIV/0!</v>
      </c>
    </row>
    <row r="53" spans="1:16" ht="15">
      <c r="B53"/>
      <c r="C53" s="2" t="s">
        <v>45</v>
      </c>
      <c r="D53" s="11">
        <f>D51/D52</f>
        <v>0.81052631578947365</v>
      </c>
      <c r="E53" s="11" t="e">
        <f t="shared" ref="E53:K53" si="2">E51/E52</f>
        <v>#DIV/0!</v>
      </c>
      <c r="F53" s="11">
        <f t="shared" si="2"/>
        <v>0.81052631578947365</v>
      </c>
      <c r="G53" s="11" t="e">
        <f t="shared" si="2"/>
        <v>#DIV/0!</v>
      </c>
      <c r="H53" s="11">
        <f t="shared" si="2"/>
        <v>0.81052631578947365</v>
      </c>
      <c r="I53" s="11" t="e">
        <f t="shared" si="2"/>
        <v>#DIV/0!</v>
      </c>
      <c r="J53" s="11">
        <f t="shared" si="2"/>
        <v>0.81052631578947365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>
        <v>46067</v>
      </c>
      <c r="E56" s="29"/>
      <c r="F56" s="29">
        <v>46074</v>
      </c>
      <c r="G56" s="29"/>
      <c r="H56" s="29">
        <v>46081</v>
      </c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 t="s">
        <v>78</v>
      </c>
      <c r="E58" s="6"/>
      <c r="F58" s="6" t="s">
        <v>78</v>
      </c>
      <c r="G58" s="6"/>
      <c r="H58" s="6" t="s">
        <v>78</v>
      </c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>
        <v>4</v>
      </c>
      <c r="E59" s="8"/>
      <c r="F59" s="8">
        <v>4</v>
      </c>
      <c r="G59" s="8"/>
      <c r="H59" s="8">
        <v>4</v>
      </c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>
        <v>4</v>
      </c>
      <c r="E61" s="8"/>
      <c r="F61" s="8">
        <v>4</v>
      </c>
      <c r="G61" s="8"/>
      <c r="H61" s="8">
        <v>4</v>
      </c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>
        <v>4</v>
      </c>
      <c r="E64" s="8"/>
      <c r="F64" s="8">
        <v>4</v>
      </c>
      <c r="G64" s="8"/>
      <c r="H64" s="8">
        <v>4</v>
      </c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>
        <v>4</v>
      </c>
      <c r="E65" s="8"/>
      <c r="F65" s="8">
        <v>4</v>
      </c>
      <c r="G65" s="8"/>
      <c r="H65" s="8">
        <v>4</v>
      </c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>
        <v>4</v>
      </c>
      <c r="E66" s="8"/>
      <c r="F66" s="8">
        <v>4</v>
      </c>
      <c r="G66" s="8"/>
      <c r="H66" s="8">
        <v>4</v>
      </c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>
        <v>4</v>
      </c>
      <c r="E69" s="8"/>
      <c r="F69" s="8">
        <v>4</v>
      </c>
      <c r="G69" s="8"/>
      <c r="H69" s="8">
        <v>4</v>
      </c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>
        <v>4</v>
      </c>
      <c r="E70" s="8"/>
      <c r="F70" s="8">
        <v>4</v>
      </c>
      <c r="G70" s="8"/>
      <c r="H70" s="8">
        <v>4</v>
      </c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>
        <v>4</v>
      </c>
      <c r="E72" s="8"/>
      <c r="F72" s="8">
        <v>4</v>
      </c>
      <c r="G72" s="8"/>
      <c r="H72" s="8">
        <v>4</v>
      </c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>
        <v>4</v>
      </c>
      <c r="E75" s="8"/>
      <c r="F75" s="8">
        <v>4</v>
      </c>
      <c r="G75" s="8"/>
      <c r="H75" s="8">
        <v>4</v>
      </c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>
        <v>4</v>
      </c>
      <c r="E76" s="8"/>
      <c r="F76" s="8">
        <v>4</v>
      </c>
      <c r="G76" s="8"/>
      <c r="H76" s="8">
        <v>4</v>
      </c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>
        <v>4</v>
      </c>
      <c r="E77" s="8"/>
      <c r="F77" s="8">
        <v>4</v>
      </c>
      <c r="G77" s="8"/>
      <c r="H77" s="8">
        <v>4</v>
      </c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>
        <v>4</v>
      </c>
      <c r="E78" s="8"/>
      <c r="F78" s="8">
        <v>4</v>
      </c>
      <c r="G78" s="8"/>
      <c r="H78" s="8">
        <v>4</v>
      </c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>
        <v>4</v>
      </c>
      <c r="E79" s="8"/>
      <c r="F79" s="8">
        <v>4</v>
      </c>
      <c r="G79" s="8"/>
      <c r="H79" s="8">
        <v>4</v>
      </c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>
        <v>4</v>
      </c>
      <c r="E82" s="8"/>
      <c r="F82" s="8">
        <v>4</v>
      </c>
      <c r="G82" s="8"/>
      <c r="H82" s="8">
        <v>4</v>
      </c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>
        <v>4</v>
      </c>
      <c r="E83" s="8"/>
      <c r="F83" s="8">
        <v>4</v>
      </c>
      <c r="G83" s="8"/>
      <c r="H83" s="8">
        <v>4</v>
      </c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>
        <v>4</v>
      </c>
      <c r="E84" s="8"/>
      <c r="F84" s="8">
        <v>4</v>
      </c>
      <c r="G84" s="8"/>
      <c r="H84" s="8">
        <v>4</v>
      </c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>
        <v>4</v>
      </c>
      <c r="E86" s="8"/>
      <c r="F86" s="8">
        <v>4</v>
      </c>
      <c r="G86" s="8"/>
      <c r="H86" s="8">
        <v>4</v>
      </c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>
        <v>4</v>
      </c>
      <c r="E87" s="8"/>
      <c r="F87" s="8">
        <v>4</v>
      </c>
      <c r="G87" s="8"/>
      <c r="H87" s="8">
        <v>4</v>
      </c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>
        <v>4</v>
      </c>
      <c r="E90" s="8"/>
      <c r="F90" s="8">
        <v>4</v>
      </c>
      <c r="G90" s="8"/>
      <c r="H90" s="8">
        <v>4</v>
      </c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2" spans="1:16">
      <c r="B92"/>
    </row>
    <row r="93" spans="1:16" ht="15">
      <c r="B93" s="71" t="s">
        <v>44</v>
      </c>
      <c r="C93" s="71"/>
      <c r="D93" s="1">
        <f>SUM(D59:D90)</f>
        <v>76</v>
      </c>
      <c r="E93" s="1">
        <f t="shared" ref="E93:K93" si="3">SUM(E59:E90)</f>
        <v>0</v>
      </c>
      <c r="F93" s="1">
        <f t="shared" si="3"/>
        <v>76</v>
      </c>
      <c r="G93" s="1">
        <f t="shared" si="3"/>
        <v>0</v>
      </c>
      <c r="H93" s="1">
        <f t="shared" si="3"/>
        <v>76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B94"/>
      <c r="C94" s="64"/>
      <c r="D94" s="1">
        <f>COUNT(D59:D91)*5</f>
        <v>95</v>
      </c>
      <c r="E94" s="1">
        <f t="shared" ref="E94:K94" si="4">COUNT(E59:E91)*5</f>
        <v>0</v>
      </c>
      <c r="F94" s="1">
        <f t="shared" si="4"/>
        <v>95</v>
      </c>
      <c r="G94" s="1">
        <f t="shared" si="4"/>
        <v>0</v>
      </c>
      <c r="H94" s="1">
        <f t="shared" si="4"/>
        <v>95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B95"/>
      <c r="C95" s="2" t="s">
        <v>45</v>
      </c>
      <c r="D95" s="11">
        <f>D93/D94</f>
        <v>0.8</v>
      </c>
      <c r="E95" s="11" t="e">
        <f t="shared" ref="E95:K95" si="5">E93/E94</f>
        <v>#DIV/0!</v>
      </c>
      <c r="F95" s="11">
        <f t="shared" si="5"/>
        <v>0.8</v>
      </c>
      <c r="G95" s="11" t="e">
        <f t="shared" si="5"/>
        <v>#DIV/0!</v>
      </c>
      <c r="H95" s="11">
        <f t="shared" si="5"/>
        <v>0.8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>
        <v>46082</v>
      </c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 t="s">
        <v>78</v>
      </c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>
        <v>4</v>
      </c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>
        <v>4</v>
      </c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>
        <v>4</v>
      </c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>
        <v>4</v>
      </c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>
        <v>4</v>
      </c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>
        <v>4</v>
      </c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>
        <v>4</v>
      </c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>
        <v>4</v>
      </c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>
        <v>4</v>
      </c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>
        <v>4</v>
      </c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>
        <v>4</v>
      </c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>
        <v>4</v>
      </c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>
        <v>4</v>
      </c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>
        <v>4</v>
      </c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>
        <v>4</v>
      </c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>
        <v>4</v>
      </c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>
        <v>4</v>
      </c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>
        <v>4</v>
      </c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>
        <v>4</v>
      </c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4" spans="1:16">
      <c r="B134"/>
    </row>
    <row r="135" spans="1:16" ht="15">
      <c r="B135" s="71" t="s">
        <v>44</v>
      </c>
      <c r="C135" s="71"/>
      <c r="D135" s="1">
        <f>SUM(D101:D132)</f>
        <v>76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B136"/>
      <c r="C136" s="64"/>
      <c r="D136" s="1">
        <f>COUNT(D101:D133)*5</f>
        <v>95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B137"/>
      <c r="C137" s="2" t="s">
        <v>45</v>
      </c>
      <c r="D137" s="11">
        <f>D135/D136</f>
        <v>0.8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>
        <v>46117</v>
      </c>
      <c r="E140" s="29"/>
      <c r="F140" s="42">
        <v>46124</v>
      </c>
      <c r="G140" s="42"/>
      <c r="H140" s="42">
        <v>46131</v>
      </c>
      <c r="I140" s="42"/>
      <c r="J140" s="42">
        <v>46138</v>
      </c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 t="s">
        <v>90</v>
      </c>
      <c r="E142" s="6"/>
      <c r="F142" s="38" t="s">
        <v>90</v>
      </c>
      <c r="G142" s="38"/>
      <c r="H142" s="38" t="s">
        <v>90</v>
      </c>
      <c r="I142" s="38"/>
      <c r="J142" s="38" t="s">
        <v>90</v>
      </c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>
        <v>4</v>
      </c>
      <c r="E143" s="8"/>
      <c r="F143" s="67">
        <v>4</v>
      </c>
      <c r="G143" s="67"/>
      <c r="H143" s="67">
        <v>4</v>
      </c>
      <c r="I143" s="67"/>
      <c r="J143" s="67">
        <v>4</v>
      </c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>
        <v>4</v>
      </c>
      <c r="E145" s="8"/>
      <c r="F145" s="67">
        <v>4</v>
      </c>
      <c r="G145" s="67"/>
      <c r="H145" s="67">
        <v>4</v>
      </c>
      <c r="I145" s="67"/>
      <c r="J145" s="67">
        <v>4</v>
      </c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>
        <v>4</v>
      </c>
      <c r="E148" s="8"/>
      <c r="F148" s="67">
        <v>4</v>
      </c>
      <c r="G148" s="67"/>
      <c r="H148" s="67">
        <v>4</v>
      </c>
      <c r="I148" s="67"/>
      <c r="J148" s="67">
        <v>4</v>
      </c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>
        <v>4</v>
      </c>
      <c r="E149" s="8"/>
      <c r="F149" s="67">
        <v>4</v>
      </c>
      <c r="G149" s="67"/>
      <c r="H149" s="67">
        <v>4</v>
      </c>
      <c r="I149" s="67"/>
      <c r="J149" s="67">
        <v>4</v>
      </c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>
        <v>4</v>
      </c>
      <c r="E150" s="8"/>
      <c r="F150" s="67">
        <v>4</v>
      </c>
      <c r="G150" s="67"/>
      <c r="H150" s="67">
        <v>4</v>
      </c>
      <c r="I150" s="67"/>
      <c r="J150" s="67">
        <v>4</v>
      </c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>
        <v>4</v>
      </c>
      <c r="E153" s="8"/>
      <c r="F153" s="67">
        <v>4</v>
      </c>
      <c r="G153" s="67"/>
      <c r="H153" s="67">
        <v>4</v>
      </c>
      <c r="I153" s="67"/>
      <c r="J153" s="67">
        <v>4</v>
      </c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>
        <v>4</v>
      </c>
      <c r="E154" s="8"/>
      <c r="F154" s="67">
        <v>4</v>
      </c>
      <c r="G154" s="67"/>
      <c r="H154" s="67">
        <v>4</v>
      </c>
      <c r="I154" s="67"/>
      <c r="J154" s="67">
        <v>4</v>
      </c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>
        <v>4</v>
      </c>
      <c r="E156" s="8"/>
      <c r="F156" s="67">
        <v>4</v>
      </c>
      <c r="G156" s="67"/>
      <c r="H156" s="67">
        <v>4</v>
      </c>
      <c r="I156" s="67"/>
      <c r="J156" s="67">
        <v>4</v>
      </c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>
        <v>4</v>
      </c>
      <c r="E159" s="8"/>
      <c r="F159" s="67">
        <v>4</v>
      </c>
      <c r="G159" s="67"/>
      <c r="H159" s="67">
        <v>4</v>
      </c>
      <c r="I159" s="67"/>
      <c r="J159" s="67">
        <v>4</v>
      </c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>
        <v>4</v>
      </c>
      <c r="E160" s="8"/>
      <c r="F160" s="67">
        <v>4</v>
      </c>
      <c r="G160" s="67"/>
      <c r="H160" s="67">
        <v>4</v>
      </c>
      <c r="I160" s="67"/>
      <c r="J160" s="67">
        <v>4</v>
      </c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>
        <v>4</v>
      </c>
      <c r="E161" s="8"/>
      <c r="F161" s="67">
        <v>4</v>
      </c>
      <c r="G161" s="67"/>
      <c r="H161" s="67">
        <v>4</v>
      </c>
      <c r="I161" s="67"/>
      <c r="J161" s="67">
        <v>4</v>
      </c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>
        <v>4</v>
      </c>
      <c r="E162" s="8"/>
      <c r="F162" s="67">
        <v>4</v>
      </c>
      <c r="G162" s="67"/>
      <c r="H162" s="67">
        <v>4</v>
      </c>
      <c r="I162" s="67"/>
      <c r="J162" s="67">
        <v>4</v>
      </c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>
        <v>4</v>
      </c>
      <c r="E163" s="8"/>
      <c r="F163" s="67">
        <v>4</v>
      </c>
      <c r="G163" s="67"/>
      <c r="H163" s="67">
        <v>4</v>
      </c>
      <c r="I163" s="67"/>
      <c r="J163" s="67">
        <v>4</v>
      </c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>
        <v>4</v>
      </c>
      <c r="E166" s="8"/>
      <c r="F166" s="67">
        <v>4</v>
      </c>
      <c r="G166" s="67"/>
      <c r="H166" s="67">
        <v>4</v>
      </c>
      <c r="I166" s="67"/>
      <c r="J166" s="67">
        <v>4</v>
      </c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>
        <v>4</v>
      </c>
      <c r="E167" s="8"/>
      <c r="F167" s="67">
        <v>4</v>
      </c>
      <c r="G167" s="67"/>
      <c r="H167" s="67">
        <v>4</v>
      </c>
      <c r="I167" s="67"/>
      <c r="J167" s="67">
        <v>4</v>
      </c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>
        <v>4</v>
      </c>
      <c r="E168" s="8"/>
      <c r="F168" s="67">
        <v>4</v>
      </c>
      <c r="G168" s="67"/>
      <c r="H168" s="67">
        <v>4</v>
      </c>
      <c r="I168" s="67"/>
      <c r="J168" s="67">
        <v>4</v>
      </c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>
        <v>4</v>
      </c>
      <c r="E170" s="8"/>
      <c r="F170" s="67">
        <v>4</v>
      </c>
      <c r="G170" s="67"/>
      <c r="H170" s="67">
        <v>4</v>
      </c>
      <c r="I170" s="67"/>
      <c r="J170" s="67">
        <v>4</v>
      </c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>
        <v>4</v>
      </c>
      <c r="E171" s="8"/>
      <c r="F171" s="67">
        <v>4</v>
      </c>
      <c r="G171" s="67"/>
      <c r="H171" s="67">
        <v>4</v>
      </c>
      <c r="I171" s="67"/>
      <c r="J171" s="67">
        <v>4</v>
      </c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6" spans="1:16">
      <c r="B176"/>
    </row>
    <row r="177" spans="1:16" ht="15">
      <c r="B177" s="71" t="s">
        <v>44</v>
      </c>
      <c r="C177" s="71"/>
      <c r="D177" s="1">
        <f>SUM(D143:D174)</f>
        <v>72</v>
      </c>
      <c r="E177" s="1">
        <f t="shared" ref="E177:K177" si="9">SUM(E143:E174)</f>
        <v>0</v>
      </c>
      <c r="F177" s="1">
        <f t="shared" si="9"/>
        <v>72</v>
      </c>
      <c r="G177" s="1">
        <f t="shared" si="9"/>
        <v>0</v>
      </c>
      <c r="H177" s="1">
        <f t="shared" si="9"/>
        <v>72</v>
      </c>
      <c r="I177" s="1">
        <f t="shared" si="9"/>
        <v>0</v>
      </c>
      <c r="J177" s="1">
        <f t="shared" si="9"/>
        <v>72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B178"/>
      <c r="C178" s="64"/>
      <c r="D178" s="1">
        <f>COUNT(D143:D175)*5</f>
        <v>90</v>
      </c>
      <c r="E178" s="1">
        <f t="shared" ref="E178:K178" si="10">COUNT(E143:E175)*5</f>
        <v>0</v>
      </c>
      <c r="F178" s="1">
        <f t="shared" si="10"/>
        <v>90</v>
      </c>
      <c r="G178" s="1">
        <f t="shared" si="10"/>
        <v>0</v>
      </c>
      <c r="H178" s="1">
        <f t="shared" si="10"/>
        <v>90</v>
      </c>
      <c r="I178" s="1">
        <f t="shared" si="10"/>
        <v>0</v>
      </c>
      <c r="J178" s="1">
        <f t="shared" si="10"/>
        <v>90</v>
      </c>
      <c r="K178" s="1">
        <f t="shared" si="10"/>
        <v>0</v>
      </c>
      <c r="M178" s="18">
        <f>(D179+F179+H179+J179)/4</f>
        <v>0.8</v>
      </c>
      <c r="N178" s="18" t="e">
        <f>(E179+G179+I179+K179)/4</f>
        <v>#DIV/0!</v>
      </c>
    </row>
    <row r="179" spans="1:16" ht="15">
      <c r="B179"/>
      <c r="C179" s="2" t="s">
        <v>45</v>
      </c>
      <c r="D179" s="11">
        <f>D177/D178</f>
        <v>0.8</v>
      </c>
      <c r="E179" s="11" t="e">
        <f t="shared" ref="E179:K179" si="11">E177/E178</f>
        <v>#DIV/0!</v>
      </c>
      <c r="F179" s="11">
        <f t="shared" si="11"/>
        <v>0.8</v>
      </c>
      <c r="G179" s="11" t="e">
        <f t="shared" si="11"/>
        <v>#DIV/0!</v>
      </c>
      <c r="H179" s="11">
        <f t="shared" si="11"/>
        <v>0.8</v>
      </c>
      <c r="I179" s="11" t="e">
        <f t="shared" si="11"/>
        <v>#DIV/0!</v>
      </c>
      <c r="J179" s="11">
        <f t="shared" si="11"/>
        <v>0.8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>
        <v>46145</v>
      </c>
      <c r="E182" s="46"/>
      <c r="F182" s="42">
        <v>46152</v>
      </c>
      <c r="G182" s="42"/>
      <c r="H182" s="42">
        <v>46159</v>
      </c>
      <c r="I182" s="42"/>
      <c r="J182" s="42">
        <v>46166</v>
      </c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 t="s">
        <v>90</v>
      </c>
      <c r="E184" s="7"/>
      <c r="F184" s="38" t="s">
        <v>90</v>
      </c>
      <c r="G184" s="38"/>
      <c r="H184" s="38" t="s">
        <v>90</v>
      </c>
      <c r="I184" s="38"/>
      <c r="J184" s="38" t="s">
        <v>90</v>
      </c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>
        <v>4</v>
      </c>
      <c r="E185" s="65"/>
      <c r="F185" s="67">
        <v>4</v>
      </c>
      <c r="G185" s="67"/>
      <c r="H185" s="67">
        <v>4</v>
      </c>
      <c r="I185" s="67"/>
      <c r="J185" s="67">
        <v>4</v>
      </c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>
        <v>4</v>
      </c>
      <c r="E187" s="65"/>
      <c r="F187" s="67">
        <v>4</v>
      </c>
      <c r="G187" s="67"/>
      <c r="H187" s="67">
        <v>4</v>
      </c>
      <c r="I187" s="67"/>
      <c r="J187" s="67">
        <v>4</v>
      </c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>
        <v>4</v>
      </c>
      <c r="E190" s="65"/>
      <c r="F190" s="67">
        <v>4</v>
      </c>
      <c r="G190" s="67"/>
      <c r="H190" s="67">
        <v>4</v>
      </c>
      <c r="I190" s="67"/>
      <c r="J190" s="67">
        <v>4</v>
      </c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>
        <v>4</v>
      </c>
      <c r="E191" s="65"/>
      <c r="F191" s="67">
        <v>4</v>
      </c>
      <c r="G191" s="67"/>
      <c r="H191" s="67">
        <v>4</v>
      </c>
      <c r="I191" s="67"/>
      <c r="J191" s="67">
        <v>4</v>
      </c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>
        <v>4</v>
      </c>
      <c r="E192" s="65"/>
      <c r="F192" s="67">
        <v>4</v>
      </c>
      <c r="G192" s="67"/>
      <c r="H192" s="67">
        <v>4</v>
      </c>
      <c r="I192" s="67"/>
      <c r="J192" s="67">
        <v>4</v>
      </c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>
        <v>4</v>
      </c>
      <c r="E195" s="65"/>
      <c r="F195" s="67">
        <v>4</v>
      </c>
      <c r="G195" s="67"/>
      <c r="H195" s="67">
        <v>4</v>
      </c>
      <c r="I195" s="67"/>
      <c r="J195" s="67">
        <v>4</v>
      </c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>
        <v>4</v>
      </c>
      <c r="E196" s="65"/>
      <c r="F196" s="67">
        <v>4</v>
      </c>
      <c r="G196" s="67"/>
      <c r="H196" s="67">
        <v>4</v>
      </c>
      <c r="I196" s="67"/>
      <c r="J196" s="67">
        <v>4</v>
      </c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>
        <v>4</v>
      </c>
      <c r="E198" s="65"/>
      <c r="F198" s="67">
        <v>4</v>
      </c>
      <c r="G198" s="67"/>
      <c r="H198" s="67">
        <v>4</v>
      </c>
      <c r="I198" s="67"/>
      <c r="J198" s="67">
        <v>4</v>
      </c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>
        <v>4</v>
      </c>
      <c r="E201" s="65"/>
      <c r="F201" s="67">
        <v>4</v>
      </c>
      <c r="G201" s="67"/>
      <c r="H201" s="67">
        <v>4</v>
      </c>
      <c r="I201" s="67"/>
      <c r="J201" s="67">
        <v>4</v>
      </c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>
        <v>4</v>
      </c>
      <c r="E202" s="65"/>
      <c r="F202" s="67">
        <v>4</v>
      </c>
      <c r="G202" s="67"/>
      <c r="H202" s="67">
        <v>4</v>
      </c>
      <c r="I202" s="67"/>
      <c r="J202" s="67">
        <v>4</v>
      </c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>
        <v>4</v>
      </c>
      <c r="E203" s="65"/>
      <c r="F203" s="67">
        <v>4</v>
      </c>
      <c r="G203" s="67"/>
      <c r="H203" s="67">
        <v>4</v>
      </c>
      <c r="I203" s="67"/>
      <c r="J203" s="67">
        <v>4</v>
      </c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>
        <v>4</v>
      </c>
      <c r="E204" s="65"/>
      <c r="F204" s="67">
        <v>4</v>
      </c>
      <c r="G204" s="67"/>
      <c r="H204" s="67">
        <v>4</v>
      </c>
      <c r="I204" s="67"/>
      <c r="J204" s="67">
        <v>4</v>
      </c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>
        <v>4</v>
      </c>
      <c r="E205" s="65"/>
      <c r="F205" s="67">
        <v>4</v>
      </c>
      <c r="G205" s="67"/>
      <c r="H205" s="67">
        <v>4</v>
      </c>
      <c r="I205" s="67"/>
      <c r="J205" s="67">
        <v>4</v>
      </c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>
        <v>4</v>
      </c>
      <c r="E208" s="65"/>
      <c r="F208" s="67">
        <v>4</v>
      </c>
      <c r="G208" s="67"/>
      <c r="H208" s="67">
        <v>4</v>
      </c>
      <c r="I208" s="67"/>
      <c r="J208" s="67">
        <v>4</v>
      </c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>
        <v>4</v>
      </c>
      <c r="E209" s="65"/>
      <c r="F209" s="67">
        <v>4</v>
      </c>
      <c r="G209" s="67"/>
      <c r="H209" s="67">
        <v>4</v>
      </c>
      <c r="I209" s="67"/>
      <c r="J209" s="67">
        <v>4</v>
      </c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>
        <v>4</v>
      </c>
      <c r="E210" s="65"/>
      <c r="F210" s="67">
        <v>4</v>
      </c>
      <c r="G210" s="67"/>
      <c r="H210" s="67">
        <v>4</v>
      </c>
      <c r="I210" s="67"/>
      <c r="J210" s="67">
        <v>4</v>
      </c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>
        <v>4</v>
      </c>
      <c r="E212" s="65"/>
      <c r="F212" s="67">
        <v>4</v>
      </c>
      <c r="G212" s="67"/>
      <c r="H212" s="67">
        <v>4</v>
      </c>
      <c r="I212" s="67"/>
      <c r="J212" s="67">
        <v>4</v>
      </c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>
        <v>4</v>
      </c>
      <c r="E213" s="65"/>
      <c r="F213" s="67">
        <v>4</v>
      </c>
      <c r="G213" s="67"/>
      <c r="H213" s="67">
        <v>4</v>
      </c>
      <c r="I213" s="67"/>
      <c r="J213" s="67">
        <v>4</v>
      </c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8" spans="1:16">
      <c r="B218"/>
    </row>
    <row r="219" spans="1:16" ht="15">
      <c r="B219" s="71" t="s">
        <v>44</v>
      </c>
      <c r="C219" s="71"/>
      <c r="D219" s="1">
        <f>SUM(D185:D216)</f>
        <v>72</v>
      </c>
      <c r="E219" s="1">
        <f t="shared" ref="E219:K219" si="12">SUM(E185:E216)</f>
        <v>0</v>
      </c>
      <c r="F219" s="1">
        <f t="shared" si="12"/>
        <v>72</v>
      </c>
      <c r="G219" s="1">
        <f t="shared" si="12"/>
        <v>0</v>
      </c>
      <c r="H219" s="1">
        <f t="shared" si="12"/>
        <v>72</v>
      </c>
      <c r="I219" s="1">
        <f t="shared" si="12"/>
        <v>0</v>
      </c>
      <c r="J219" s="1">
        <f t="shared" si="12"/>
        <v>72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B220"/>
      <c r="C220" s="64"/>
      <c r="D220" s="1">
        <f>COUNT(D185:D217)*5</f>
        <v>90</v>
      </c>
      <c r="E220" s="1">
        <f t="shared" ref="E220:K220" si="13">COUNT(E185:E217)*5</f>
        <v>0</v>
      </c>
      <c r="F220" s="1">
        <f t="shared" si="13"/>
        <v>90</v>
      </c>
      <c r="G220" s="1">
        <f t="shared" si="13"/>
        <v>0</v>
      </c>
      <c r="H220" s="1">
        <f t="shared" si="13"/>
        <v>90</v>
      </c>
      <c r="I220" s="1">
        <f t="shared" si="13"/>
        <v>0</v>
      </c>
      <c r="J220" s="1">
        <f t="shared" si="13"/>
        <v>90</v>
      </c>
      <c r="K220" s="1">
        <f t="shared" si="13"/>
        <v>0</v>
      </c>
      <c r="M220" s="18">
        <f>(D221+F221+H221+J221)/4</f>
        <v>0.8</v>
      </c>
      <c r="N220" s="18" t="e">
        <f>(E221+G221+I221+K221)/4</f>
        <v>#DIV/0!</v>
      </c>
    </row>
    <row r="221" spans="1:16" ht="15">
      <c r="B221"/>
      <c r="C221" s="2" t="s">
        <v>45</v>
      </c>
      <c r="D221" s="11">
        <f>D219/D220</f>
        <v>0.8</v>
      </c>
      <c r="E221" s="11" t="e">
        <f t="shared" ref="E221:K221" si="14">E219/E220</f>
        <v>#DIV/0!</v>
      </c>
      <c r="F221" s="11">
        <f t="shared" si="14"/>
        <v>0.8</v>
      </c>
      <c r="G221" s="11" t="e">
        <f t="shared" si="14"/>
        <v>#DIV/0!</v>
      </c>
      <c r="H221" s="11">
        <f t="shared" si="14"/>
        <v>0.8</v>
      </c>
      <c r="I221" s="11" t="e">
        <f t="shared" si="14"/>
        <v>#DIV/0!</v>
      </c>
      <c r="J221" s="11">
        <f t="shared" si="14"/>
        <v>0.8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>
        <v>4</v>
      </c>
      <c r="E255" s="65"/>
      <c r="F255" s="65">
        <v>4</v>
      </c>
      <c r="G255" s="65"/>
      <c r="H255" s="65">
        <v>4</v>
      </c>
      <c r="I255" s="65"/>
      <c r="J255" s="65">
        <v>4</v>
      </c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/>
      <c r="E258" s="65"/>
      <c r="F258" s="65"/>
      <c r="G258" s="65"/>
      <c r="H258" s="65"/>
      <c r="I258" s="65"/>
      <c r="J258" s="65"/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B260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B262"/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B263"/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>
        <v>4</v>
      </c>
      <c r="E297" s="56"/>
      <c r="F297" s="56">
        <v>4</v>
      </c>
      <c r="G297" s="56"/>
      <c r="H297" s="56">
        <v>4</v>
      </c>
      <c r="I297" s="56"/>
      <c r="J297" s="56">
        <v>4</v>
      </c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/>
      <c r="E300" s="56"/>
      <c r="F300" s="56"/>
      <c r="G300" s="56"/>
      <c r="H300" s="56"/>
      <c r="I300" s="56"/>
      <c r="J300" s="56"/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2" spans="1:16">
      <c r="B302"/>
    </row>
    <row r="303" spans="1:16" ht="15">
      <c r="B303" s="71" t="s">
        <v>44</v>
      </c>
      <c r="C303" s="71"/>
      <c r="D303" s="1">
        <f>SUM(D269:D300)</f>
        <v>72</v>
      </c>
      <c r="E303" s="1">
        <f t="shared" ref="E303:K303" si="18">SUM(E269:E300)</f>
        <v>0</v>
      </c>
      <c r="F303" s="1">
        <f t="shared" si="18"/>
        <v>72</v>
      </c>
      <c r="G303" s="1">
        <f t="shared" si="18"/>
        <v>0</v>
      </c>
      <c r="H303" s="1">
        <f t="shared" si="18"/>
        <v>72</v>
      </c>
      <c r="I303" s="1">
        <f t="shared" si="18"/>
        <v>0</v>
      </c>
      <c r="J303" s="1">
        <f t="shared" si="18"/>
        <v>72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B304"/>
      <c r="C304" s="64"/>
      <c r="D304" s="1">
        <f>COUNT(D269:D301)*5</f>
        <v>90</v>
      </c>
      <c r="E304" s="1">
        <f t="shared" ref="E304:K304" si="19">COUNT(E269:E301)*5</f>
        <v>0</v>
      </c>
      <c r="F304" s="1">
        <f t="shared" si="19"/>
        <v>90</v>
      </c>
      <c r="G304" s="1">
        <f t="shared" si="19"/>
        <v>0</v>
      </c>
      <c r="H304" s="1">
        <f t="shared" si="19"/>
        <v>90</v>
      </c>
      <c r="I304" s="1">
        <f t="shared" si="19"/>
        <v>0</v>
      </c>
      <c r="J304" s="1">
        <f t="shared" si="19"/>
        <v>90</v>
      </c>
      <c r="K304" s="1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B305"/>
      <c r="C305" s="2" t="s">
        <v>45</v>
      </c>
      <c r="D305" s="11">
        <f>D303/D304</f>
        <v>0.8</v>
      </c>
      <c r="E305" s="11" t="e">
        <f t="shared" ref="E305:K305" si="20">E303/E304</f>
        <v>#DIV/0!</v>
      </c>
      <c r="F305" s="11">
        <f t="shared" si="20"/>
        <v>0.8</v>
      </c>
      <c r="G305" s="11" t="e">
        <f t="shared" si="20"/>
        <v>#DIV/0!</v>
      </c>
      <c r="H305" s="11">
        <f t="shared" si="20"/>
        <v>0.8</v>
      </c>
      <c r="I305" s="11" t="e">
        <f t="shared" si="20"/>
        <v>#DIV/0!</v>
      </c>
      <c r="J305" s="11">
        <f t="shared" si="20"/>
        <v>0.8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>
        <v>46236</v>
      </c>
      <c r="E308" s="46"/>
      <c r="F308" s="46">
        <v>46243</v>
      </c>
      <c r="G308" s="46"/>
      <c r="H308" s="46">
        <v>46250</v>
      </c>
      <c r="I308" s="46"/>
      <c r="J308" s="46">
        <v>46257</v>
      </c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7"/>
      <c r="F310" s="7" t="s">
        <v>90</v>
      </c>
      <c r="G310" s="7"/>
      <c r="H310" s="7" t="s">
        <v>90</v>
      </c>
      <c r="I310" s="7"/>
      <c r="J310" s="7" t="s">
        <v>90</v>
      </c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65"/>
      <c r="F311" s="65">
        <v>4</v>
      </c>
      <c r="G311" s="65"/>
      <c r="H311" s="65">
        <v>4</v>
      </c>
      <c r="I311" s="65"/>
      <c r="J311" s="65">
        <v>4</v>
      </c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65"/>
      <c r="F313" s="65">
        <v>4</v>
      </c>
      <c r="G313" s="65"/>
      <c r="H313" s="65">
        <v>4</v>
      </c>
      <c r="I313" s="65"/>
      <c r="J313" s="65">
        <v>4</v>
      </c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65"/>
      <c r="F316" s="65">
        <v>4</v>
      </c>
      <c r="G316" s="65"/>
      <c r="H316" s="65">
        <v>4</v>
      </c>
      <c r="I316" s="65"/>
      <c r="J316" s="65">
        <v>4</v>
      </c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65"/>
      <c r="F317" s="65">
        <v>4</v>
      </c>
      <c r="G317" s="65"/>
      <c r="H317" s="65">
        <v>4</v>
      </c>
      <c r="I317" s="65"/>
      <c r="J317" s="65">
        <v>4</v>
      </c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65"/>
      <c r="F318" s="65">
        <v>4</v>
      </c>
      <c r="G318" s="65"/>
      <c r="H318" s="65">
        <v>4</v>
      </c>
      <c r="I318" s="65"/>
      <c r="J318" s="65">
        <v>4</v>
      </c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65"/>
      <c r="F321" s="65">
        <v>4</v>
      </c>
      <c r="G321" s="65"/>
      <c r="H321" s="65">
        <v>4</v>
      </c>
      <c r="I321" s="65"/>
      <c r="J321" s="65">
        <v>4</v>
      </c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65"/>
      <c r="F322" s="65">
        <v>4</v>
      </c>
      <c r="G322" s="65"/>
      <c r="H322" s="65">
        <v>4</v>
      </c>
      <c r="I322" s="65"/>
      <c r="J322" s="65">
        <v>4</v>
      </c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65"/>
      <c r="F324" s="65">
        <v>4</v>
      </c>
      <c r="G324" s="65"/>
      <c r="H324" s="65">
        <v>4</v>
      </c>
      <c r="I324" s="65"/>
      <c r="J324" s="65">
        <v>4</v>
      </c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65"/>
      <c r="F327" s="65">
        <v>4</v>
      </c>
      <c r="G327" s="65"/>
      <c r="H327" s="65">
        <v>4</v>
      </c>
      <c r="I327" s="65"/>
      <c r="J327" s="65">
        <v>4</v>
      </c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65"/>
      <c r="F328" s="65">
        <v>4</v>
      </c>
      <c r="G328" s="65"/>
      <c r="H328" s="65">
        <v>4</v>
      </c>
      <c r="I328" s="65"/>
      <c r="J328" s="65">
        <v>4</v>
      </c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65"/>
      <c r="F329" s="65">
        <v>4</v>
      </c>
      <c r="G329" s="65"/>
      <c r="H329" s="65">
        <v>4</v>
      </c>
      <c r="I329" s="65"/>
      <c r="J329" s="65">
        <v>4</v>
      </c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65"/>
      <c r="F330" s="65">
        <v>4</v>
      </c>
      <c r="G330" s="65"/>
      <c r="H330" s="65">
        <v>4</v>
      </c>
      <c r="I330" s="65"/>
      <c r="J330" s="65">
        <v>4</v>
      </c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65"/>
      <c r="F331" s="65">
        <v>4</v>
      </c>
      <c r="G331" s="65"/>
      <c r="H331" s="65">
        <v>4</v>
      </c>
      <c r="I331" s="65"/>
      <c r="J331" s="65">
        <v>4</v>
      </c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65"/>
      <c r="F334" s="65">
        <v>4</v>
      </c>
      <c r="G334" s="65"/>
      <c r="H334" s="65">
        <v>4</v>
      </c>
      <c r="I334" s="65"/>
      <c r="J334" s="65">
        <v>4</v>
      </c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65"/>
      <c r="F335" s="65">
        <v>4</v>
      </c>
      <c r="G335" s="65"/>
      <c r="H335" s="65">
        <v>4</v>
      </c>
      <c r="I335" s="65"/>
      <c r="J335" s="65">
        <v>4</v>
      </c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65"/>
      <c r="F336" s="65">
        <v>4</v>
      </c>
      <c r="G336" s="65"/>
      <c r="H336" s="65">
        <v>4</v>
      </c>
      <c r="I336" s="65"/>
      <c r="J336" s="65">
        <v>4</v>
      </c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65"/>
      <c r="F338" s="65">
        <v>4</v>
      </c>
      <c r="G338" s="65"/>
      <c r="H338" s="65">
        <v>4</v>
      </c>
      <c r="I338" s="65"/>
      <c r="J338" s="65">
        <v>4</v>
      </c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>
        <v>4</v>
      </c>
      <c r="E339" s="65"/>
      <c r="F339" s="65">
        <v>4</v>
      </c>
      <c r="G339" s="65"/>
      <c r="H339" s="65">
        <v>4</v>
      </c>
      <c r="I339" s="65"/>
      <c r="J339" s="65">
        <v>4</v>
      </c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/>
      <c r="E342" s="65"/>
      <c r="F342" s="65"/>
      <c r="G342" s="65"/>
      <c r="H342" s="65"/>
      <c r="I342" s="65"/>
      <c r="J342" s="65"/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4" spans="1:16">
      <c r="B344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B346"/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B347"/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6" spans="1:16">
      <c r="B3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B388"/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B389"/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8" spans="1:16">
      <c r="B428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B430"/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B431"/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0" spans="1:16">
      <c r="B470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B472"/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B473"/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2" spans="1:16">
      <c r="B512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B514"/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B515"/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</mergeCells>
  <hyperlinks>
    <hyperlink ref="B2" location="'ALL STAFF'!A1" display="&lt;BACK" xr:uid="{8048DD85-F5E4-41F4-B17D-9BF445B8773F}"/>
    <hyperlink ref="C13" location="'ALL STAFF'!A1" display="&lt;BACK" xr:uid="{79D73359-5FBA-4A8B-B760-65BC9C495F78}"/>
    <hyperlink ref="C55" location="'ALL STAFF'!A1" display="&lt;BACK" xr:uid="{5F024ED0-EAC2-4EAA-947B-872E2B784AFA}"/>
    <hyperlink ref="C97" location="'ALL STAFF'!A1" display="&lt;BACK" xr:uid="{060F3824-1AEF-4BBB-BABD-C81CC5E5D177}"/>
    <hyperlink ref="C139" location="'ALL STAFF'!A1" display="&lt;BACK" xr:uid="{E073FBF8-9DA7-4FBC-B306-A532019ED79F}"/>
    <hyperlink ref="C181" location="'ALL STAFF'!A1" display="&lt;BACK" xr:uid="{56EEBE74-6F42-46D8-A925-DCC1D4B62906}"/>
    <hyperlink ref="C223" location="'ALL STAFF'!A1" display="&lt;BACK" xr:uid="{044B54AE-5154-4464-A794-3A28820033C1}"/>
    <hyperlink ref="C265" location="'ALL STAFF'!A1" display="&lt;BACK" xr:uid="{BF31B8E7-814E-4C34-AC96-5D0BE370DE60}"/>
    <hyperlink ref="C307" location="'ALL STAFF'!A1" display="&lt;BACK" xr:uid="{8671BD78-1042-40B5-A4CD-30990BE17123}"/>
    <hyperlink ref="C349" location="'ALL STAFF'!A1" display="&lt;BACK" xr:uid="{AEA3248A-6C1E-4297-B43E-6D0C7EAB4E85}"/>
    <hyperlink ref="C391" location="'ALL STAFF'!A1" display="&lt;BACK" xr:uid="{44E8973A-2F08-49AC-B0B8-CBA8BEA38B5F}"/>
    <hyperlink ref="C433" location="'ALL STAFF'!A1" display="&lt;BACK" xr:uid="{45A3E65B-BECC-438F-8AA9-6FD8E0622273}"/>
    <hyperlink ref="C475" location="'ALL STAFF'!A1" display="&lt;BACK" xr:uid="{A6DA41EC-D4D9-47DD-BBD5-1D24B5273DCD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11D0C5-B990-45DE-BB4E-C1ACF67D931B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71E8-3934-4796-9972-23FBBE3CA492}">
  <sheetPr codeName="Sheet8"/>
  <dimension ref="A1:T515"/>
  <sheetViews>
    <sheetView topLeftCell="A307" zoomScale="80" zoomScaleNormal="80" workbookViewId="0">
      <selection activeCell="H330" sqref="H330"/>
    </sheetView>
  </sheetViews>
  <sheetFormatPr defaultRowHeight="14.25"/>
  <cols>
    <col min="1" max="1" width="5" customWidth="1"/>
    <col min="2" max="2" width="52.625" style="43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44" t="s">
        <v>6</v>
      </c>
      <c r="R2" s="20">
        <v>46023</v>
      </c>
      <c r="S2" s="21">
        <f>M52</f>
        <v>0.81052631578947365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>
        <f>M178</f>
        <v>0.8</v>
      </c>
      <c r="T5" s="21" t="e">
        <f>N178</f>
        <v>#DIV/0!</v>
      </c>
    </row>
    <row r="6" spans="1:20" ht="15">
      <c r="A6" s="27">
        <v>3</v>
      </c>
      <c r="R6" s="20">
        <v>46143</v>
      </c>
      <c r="S6" s="21">
        <f>M220</f>
        <v>0.8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>
        <v>46037</v>
      </c>
      <c r="E14" s="46"/>
      <c r="F14" s="46">
        <v>46046</v>
      </c>
      <c r="G14" s="46"/>
      <c r="H14" s="46">
        <v>46053</v>
      </c>
      <c r="I14" s="46"/>
      <c r="J14" s="46">
        <v>46060</v>
      </c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 t="s">
        <v>78</v>
      </c>
      <c r="E16" s="7"/>
      <c r="F16" s="7" t="s">
        <v>78</v>
      </c>
      <c r="G16" s="7"/>
      <c r="H16" s="7" t="s">
        <v>78</v>
      </c>
      <c r="I16" s="7"/>
      <c r="J16" s="7" t="s">
        <v>78</v>
      </c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>
        <v>5</v>
      </c>
      <c r="E17" s="67"/>
      <c r="F17" s="67">
        <v>5</v>
      </c>
      <c r="G17" s="67"/>
      <c r="H17" s="67">
        <v>5</v>
      </c>
      <c r="I17" s="67"/>
      <c r="J17" s="67">
        <v>5</v>
      </c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>
        <v>4</v>
      </c>
      <c r="E19" s="67"/>
      <c r="F19" s="67">
        <v>4</v>
      </c>
      <c r="G19" s="67"/>
      <c r="H19" s="67">
        <v>4</v>
      </c>
      <c r="I19" s="67"/>
      <c r="J19" s="67">
        <v>4</v>
      </c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>
        <v>4</v>
      </c>
      <c r="E22" s="67"/>
      <c r="F22" s="67">
        <v>4</v>
      </c>
      <c r="G22" s="67"/>
      <c r="H22" s="67">
        <v>4</v>
      </c>
      <c r="I22" s="67"/>
      <c r="J22" s="67">
        <v>4</v>
      </c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>
        <v>4</v>
      </c>
      <c r="E23" s="67"/>
      <c r="F23" s="67">
        <v>4</v>
      </c>
      <c r="G23" s="67"/>
      <c r="H23" s="67">
        <v>4</v>
      </c>
      <c r="I23" s="67"/>
      <c r="J23" s="67">
        <v>4</v>
      </c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>
        <v>4</v>
      </c>
      <c r="E24" s="67"/>
      <c r="F24" s="67">
        <v>4</v>
      </c>
      <c r="G24" s="67"/>
      <c r="H24" s="67">
        <v>4</v>
      </c>
      <c r="I24" s="67"/>
      <c r="J24" s="67">
        <v>4</v>
      </c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>
        <v>4</v>
      </c>
      <c r="E27" s="67"/>
      <c r="F27" s="67">
        <v>4</v>
      </c>
      <c r="G27" s="67"/>
      <c r="H27" s="67">
        <v>4</v>
      </c>
      <c r="I27" s="67"/>
      <c r="J27" s="67">
        <v>4</v>
      </c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>
        <v>4</v>
      </c>
      <c r="E28" s="67"/>
      <c r="F28" s="67">
        <v>4</v>
      </c>
      <c r="G28" s="67"/>
      <c r="H28" s="67">
        <v>4</v>
      </c>
      <c r="I28" s="67"/>
      <c r="J28" s="67">
        <v>4</v>
      </c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>
        <v>4</v>
      </c>
      <c r="E30" s="67"/>
      <c r="F30" s="67">
        <v>4</v>
      </c>
      <c r="G30" s="67"/>
      <c r="H30" s="67">
        <v>4</v>
      </c>
      <c r="I30" s="67"/>
      <c r="J30" s="67">
        <v>4</v>
      </c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>
        <v>4</v>
      </c>
      <c r="E33" s="67"/>
      <c r="F33" s="67">
        <v>4</v>
      </c>
      <c r="G33" s="67"/>
      <c r="H33" s="67">
        <v>4</v>
      </c>
      <c r="I33" s="67"/>
      <c r="J33" s="67">
        <v>4</v>
      </c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>
        <v>4</v>
      </c>
      <c r="E34" s="67"/>
      <c r="F34" s="67">
        <v>4</v>
      </c>
      <c r="G34" s="67"/>
      <c r="H34" s="67">
        <v>4</v>
      </c>
      <c r="I34" s="67"/>
      <c r="J34" s="67">
        <v>4</v>
      </c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>
        <v>4</v>
      </c>
      <c r="E35" s="67"/>
      <c r="F35" s="67">
        <v>4</v>
      </c>
      <c r="G35" s="67"/>
      <c r="H35" s="67">
        <v>4</v>
      </c>
      <c r="I35" s="67"/>
      <c r="J35" s="67">
        <v>4</v>
      </c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>
        <v>4</v>
      </c>
      <c r="E36" s="67"/>
      <c r="F36" s="67">
        <v>4</v>
      </c>
      <c r="G36" s="67"/>
      <c r="H36" s="67">
        <v>4</v>
      </c>
      <c r="I36" s="67"/>
      <c r="J36" s="67">
        <v>4</v>
      </c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>
        <v>4</v>
      </c>
      <c r="E37" s="67"/>
      <c r="F37" s="67">
        <v>4</v>
      </c>
      <c r="G37" s="67"/>
      <c r="H37" s="67">
        <v>4</v>
      </c>
      <c r="I37" s="67"/>
      <c r="J37" s="67">
        <v>4</v>
      </c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>
        <v>4</v>
      </c>
      <c r="E40" s="67"/>
      <c r="F40" s="67">
        <v>4</v>
      </c>
      <c r="G40" s="67"/>
      <c r="H40" s="67">
        <v>4</v>
      </c>
      <c r="I40" s="67"/>
      <c r="J40" s="67">
        <v>4</v>
      </c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>
        <v>4</v>
      </c>
      <c r="E41" s="67"/>
      <c r="F41" s="67">
        <v>4</v>
      </c>
      <c r="G41" s="67"/>
      <c r="H41" s="67">
        <v>4</v>
      </c>
      <c r="I41" s="67"/>
      <c r="J41" s="67">
        <v>4</v>
      </c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>
        <v>4</v>
      </c>
      <c r="E42" s="67"/>
      <c r="F42" s="67">
        <v>4</v>
      </c>
      <c r="G42" s="67"/>
      <c r="H42" s="67">
        <v>4</v>
      </c>
      <c r="I42" s="67"/>
      <c r="J42" s="67">
        <v>4</v>
      </c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>
        <v>4</v>
      </c>
      <c r="E44" s="67"/>
      <c r="F44" s="67">
        <v>4</v>
      </c>
      <c r="G44" s="67"/>
      <c r="H44" s="67">
        <v>4</v>
      </c>
      <c r="I44" s="67"/>
      <c r="J44" s="67">
        <v>4</v>
      </c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>
        <v>4</v>
      </c>
      <c r="E45" s="67"/>
      <c r="F45" s="67">
        <v>4</v>
      </c>
      <c r="G45" s="67"/>
      <c r="H45" s="67">
        <v>4</v>
      </c>
      <c r="I45" s="67"/>
      <c r="J45" s="67">
        <v>4</v>
      </c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>
        <v>4</v>
      </c>
      <c r="E48" s="67"/>
      <c r="F48" s="67">
        <v>4</v>
      </c>
      <c r="G48" s="67"/>
      <c r="H48" s="67">
        <v>4</v>
      </c>
      <c r="I48" s="67"/>
      <c r="J48" s="67">
        <v>4</v>
      </c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0" spans="1:16">
      <c r="B50"/>
    </row>
    <row r="51" spans="1:16" ht="15">
      <c r="B51" s="71" t="s">
        <v>44</v>
      </c>
      <c r="C51" s="71"/>
      <c r="D51" s="1">
        <f>SUM(D17:D48)</f>
        <v>77</v>
      </c>
      <c r="E51" s="1">
        <f t="shared" ref="E51:K51" si="0">SUM(E17:E48)</f>
        <v>0</v>
      </c>
      <c r="F51" s="1">
        <f t="shared" si="0"/>
        <v>77</v>
      </c>
      <c r="G51" s="1">
        <f t="shared" si="0"/>
        <v>0</v>
      </c>
      <c r="H51" s="1">
        <f t="shared" si="0"/>
        <v>77</v>
      </c>
      <c r="I51" s="1">
        <f t="shared" si="0"/>
        <v>0</v>
      </c>
      <c r="J51" s="1">
        <f t="shared" si="0"/>
        <v>77</v>
      </c>
      <c r="K51" s="1">
        <f t="shared" si="0"/>
        <v>0</v>
      </c>
      <c r="M51" s="17" t="s">
        <v>2</v>
      </c>
      <c r="N51" s="17" t="s">
        <v>3</v>
      </c>
    </row>
    <row r="52" spans="1:16" ht="15">
      <c r="B52"/>
      <c r="C52" s="64"/>
      <c r="D52" s="1">
        <f>COUNT(D17:D49)*5</f>
        <v>95</v>
      </c>
      <c r="E52" s="1">
        <f t="shared" ref="E52:K52" si="1">COUNT(E17:E49)*5</f>
        <v>0</v>
      </c>
      <c r="F52" s="1">
        <f t="shared" si="1"/>
        <v>95</v>
      </c>
      <c r="G52" s="1">
        <f t="shared" si="1"/>
        <v>0</v>
      </c>
      <c r="H52" s="1">
        <f t="shared" si="1"/>
        <v>95</v>
      </c>
      <c r="I52" s="1">
        <f t="shared" si="1"/>
        <v>0</v>
      </c>
      <c r="J52" s="1">
        <f t="shared" si="1"/>
        <v>95</v>
      </c>
      <c r="K52" s="1">
        <f t="shared" si="1"/>
        <v>0</v>
      </c>
      <c r="M52" s="18">
        <f>(D53+F53+H53+J53)/4</f>
        <v>0.81052631578947365</v>
      </c>
      <c r="N52" s="18" t="e">
        <f>(E53+G53+I53+K53)/4</f>
        <v>#DIV/0!</v>
      </c>
    </row>
    <row r="53" spans="1:16" ht="15">
      <c r="B53"/>
      <c r="C53" s="2" t="s">
        <v>45</v>
      </c>
      <c r="D53" s="11">
        <f>D51/D52</f>
        <v>0.81052631578947365</v>
      </c>
      <c r="E53" s="11" t="e">
        <f t="shared" ref="E53:K53" si="2">E51/E52</f>
        <v>#DIV/0!</v>
      </c>
      <c r="F53" s="11">
        <f t="shared" si="2"/>
        <v>0.81052631578947365</v>
      </c>
      <c r="G53" s="11" t="e">
        <f t="shared" si="2"/>
        <v>#DIV/0!</v>
      </c>
      <c r="H53" s="11">
        <f t="shared" si="2"/>
        <v>0.81052631578947365</v>
      </c>
      <c r="I53" s="11" t="e">
        <f t="shared" si="2"/>
        <v>#DIV/0!</v>
      </c>
      <c r="J53" s="11">
        <f t="shared" si="2"/>
        <v>0.81052631578947365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>
        <v>46067</v>
      </c>
      <c r="E56" s="29"/>
      <c r="F56" s="29">
        <v>46074</v>
      </c>
      <c r="G56" s="29"/>
      <c r="H56" s="29">
        <v>46081</v>
      </c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 t="s">
        <v>78</v>
      </c>
      <c r="E58" s="6"/>
      <c r="F58" s="6" t="s">
        <v>78</v>
      </c>
      <c r="G58" s="6"/>
      <c r="H58" s="6" t="s">
        <v>78</v>
      </c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>
        <v>4</v>
      </c>
      <c r="E59" s="8"/>
      <c r="F59" s="8">
        <v>4</v>
      </c>
      <c r="G59" s="8"/>
      <c r="H59" s="8">
        <v>4</v>
      </c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>
        <v>4</v>
      </c>
      <c r="E61" s="8"/>
      <c r="F61" s="8">
        <v>4</v>
      </c>
      <c r="G61" s="8"/>
      <c r="H61" s="8">
        <v>4</v>
      </c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>
        <v>4</v>
      </c>
      <c r="E64" s="8"/>
      <c r="F64" s="8">
        <v>4</v>
      </c>
      <c r="G64" s="8"/>
      <c r="H64" s="8">
        <v>4</v>
      </c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>
        <v>4</v>
      </c>
      <c r="E65" s="8"/>
      <c r="F65" s="8">
        <v>4</v>
      </c>
      <c r="G65" s="8"/>
      <c r="H65" s="8">
        <v>4</v>
      </c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>
        <v>4</v>
      </c>
      <c r="E66" s="8"/>
      <c r="F66" s="8">
        <v>4</v>
      </c>
      <c r="G66" s="8"/>
      <c r="H66" s="8">
        <v>4</v>
      </c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>
        <v>4</v>
      </c>
      <c r="E69" s="8"/>
      <c r="F69" s="8">
        <v>4</v>
      </c>
      <c r="G69" s="8"/>
      <c r="H69" s="8">
        <v>4</v>
      </c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>
        <v>4</v>
      </c>
      <c r="E70" s="8"/>
      <c r="F70" s="8">
        <v>4</v>
      </c>
      <c r="G70" s="8"/>
      <c r="H70" s="8">
        <v>4</v>
      </c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>
        <v>4</v>
      </c>
      <c r="E72" s="8"/>
      <c r="F72" s="8">
        <v>4</v>
      </c>
      <c r="G72" s="8"/>
      <c r="H72" s="8">
        <v>4</v>
      </c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>
        <v>4</v>
      </c>
      <c r="E75" s="8"/>
      <c r="F75" s="8">
        <v>4</v>
      </c>
      <c r="G75" s="8"/>
      <c r="H75" s="8">
        <v>4</v>
      </c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>
        <v>4</v>
      </c>
      <c r="E76" s="8"/>
      <c r="F76" s="8">
        <v>4</v>
      </c>
      <c r="G76" s="8"/>
      <c r="H76" s="8">
        <v>4</v>
      </c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>
        <v>4</v>
      </c>
      <c r="E77" s="8"/>
      <c r="F77" s="8">
        <v>4</v>
      </c>
      <c r="G77" s="8"/>
      <c r="H77" s="8">
        <v>4</v>
      </c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>
        <v>4</v>
      </c>
      <c r="E78" s="8"/>
      <c r="F78" s="8">
        <v>4</v>
      </c>
      <c r="G78" s="8"/>
      <c r="H78" s="8">
        <v>4</v>
      </c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>
        <v>4</v>
      </c>
      <c r="E79" s="8"/>
      <c r="F79" s="8">
        <v>4</v>
      </c>
      <c r="G79" s="8"/>
      <c r="H79" s="8">
        <v>4</v>
      </c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>
        <v>4</v>
      </c>
      <c r="E82" s="8"/>
      <c r="F82" s="8">
        <v>4</v>
      </c>
      <c r="G82" s="8"/>
      <c r="H82" s="8">
        <v>4</v>
      </c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>
        <v>4</v>
      </c>
      <c r="E83" s="8"/>
      <c r="F83" s="8">
        <v>4</v>
      </c>
      <c r="G83" s="8"/>
      <c r="H83" s="8">
        <v>4</v>
      </c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>
        <v>4</v>
      </c>
      <c r="E84" s="8"/>
      <c r="F84" s="8">
        <v>4</v>
      </c>
      <c r="G84" s="8"/>
      <c r="H84" s="8">
        <v>4</v>
      </c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>
        <v>4</v>
      </c>
      <c r="E86" s="8"/>
      <c r="F86" s="8">
        <v>4</v>
      </c>
      <c r="G86" s="8"/>
      <c r="H86" s="8">
        <v>4</v>
      </c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>
        <v>4</v>
      </c>
      <c r="E87" s="8"/>
      <c r="F87" s="8">
        <v>4</v>
      </c>
      <c r="G87" s="8"/>
      <c r="H87" s="8">
        <v>4</v>
      </c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>
        <v>4</v>
      </c>
      <c r="E90" s="8"/>
      <c r="F90" s="8">
        <v>4</v>
      </c>
      <c r="G90" s="8"/>
      <c r="H90" s="8">
        <v>4</v>
      </c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2" spans="1:16">
      <c r="B92"/>
    </row>
    <row r="93" spans="1:16" ht="15">
      <c r="B93" s="71" t="s">
        <v>44</v>
      </c>
      <c r="C93" s="71"/>
      <c r="D93" s="1">
        <f>SUM(D59:D90)</f>
        <v>76</v>
      </c>
      <c r="E93" s="1">
        <f t="shared" ref="E93:K93" si="3">SUM(E59:E90)</f>
        <v>0</v>
      </c>
      <c r="F93" s="1">
        <f t="shared" si="3"/>
        <v>76</v>
      </c>
      <c r="G93" s="1">
        <f t="shared" si="3"/>
        <v>0</v>
      </c>
      <c r="H93" s="1">
        <f t="shared" si="3"/>
        <v>76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B94"/>
      <c r="C94" s="64"/>
      <c r="D94" s="1">
        <f>COUNT(D59:D91)*5</f>
        <v>95</v>
      </c>
      <c r="E94" s="1">
        <f t="shared" ref="E94:K94" si="4">COUNT(E59:E91)*5</f>
        <v>0</v>
      </c>
      <c r="F94" s="1">
        <f t="shared" si="4"/>
        <v>95</v>
      </c>
      <c r="G94" s="1">
        <f t="shared" si="4"/>
        <v>0</v>
      </c>
      <c r="H94" s="1">
        <f t="shared" si="4"/>
        <v>95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B95"/>
      <c r="C95" s="2" t="s">
        <v>45</v>
      </c>
      <c r="D95" s="11">
        <f>D93/D94</f>
        <v>0.8</v>
      </c>
      <c r="E95" s="11" t="e">
        <f t="shared" ref="E95:K95" si="5">E93/E94</f>
        <v>#DIV/0!</v>
      </c>
      <c r="F95" s="11">
        <f t="shared" si="5"/>
        <v>0.8</v>
      </c>
      <c r="G95" s="11" t="e">
        <f t="shared" si="5"/>
        <v>#DIV/0!</v>
      </c>
      <c r="H95" s="11">
        <f t="shared" si="5"/>
        <v>0.8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>
        <v>46082</v>
      </c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 t="s">
        <v>78</v>
      </c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>
        <v>4</v>
      </c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>
        <v>4</v>
      </c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>
        <v>4</v>
      </c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>
        <v>4</v>
      </c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>
        <v>4</v>
      </c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>
        <v>4</v>
      </c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>
        <v>4</v>
      </c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>
        <v>4</v>
      </c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>
        <v>4</v>
      </c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>
        <v>4</v>
      </c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>
        <v>4</v>
      </c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>
        <v>4</v>
      </c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>
        <v>4</v>
      </c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>
        <v>4</v>
      </c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>
        <v>4</v>
      </c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>
        <v>4</v>
      </c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>
        <v>4</v>
      </c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>
        <v>4</v>
      </c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/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4" spans="1:16">
      <c r="B134"/>
    </row>
    <row r="135" spans="1:16" ht="15">
      <c r="B135" s="71" t="s">
        <v>44</v>
      </c>
      <c r="C135" s="71"/>
      <c r="D135" s="1">
        <f>SUM(D101:D132)</f>
        <v>72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B136"/>
      <c r="C136" s="64"/>
      <c r="D136" s="1">
        <f>COUNT(D101:D133)*5</f>
        <v>90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B137"/>
      <c r="C137" s="2" t="s">
        <v>45</v>
      </c>
      <c r="D137" s="11">
        <f>D135/D136</f>
        <v>0.8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>
        <v>46117</v>
      </c>
      <c r="E140" s="29"/>
      <c r="F140" s="42">
        <v>46124</v>
      </c>
      <c r="G140" s="42"/>
      <c r="H140" s="42">
        <v>46131</v>
      </c>
      <c r="I140" s="42"/>
      <c r="J140" s="42">
        <v>46138</v>
      </c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 t="s">
        <v>90</v>
      </c>
      <c r="E142" s="6"/>
      <c r="F142" s="38" t="s">
        <v>90</v>
      </c>
      <c r="G142" s="38"/>
      <c r="H142" s="38" t="s">
        <v>90</v>
      </c>
      <c r="I142" s="38"/>
      <c r="J142" s="38" t="s">
        <v>90</v>
      </c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>
        <v>4</v>
      </c>
      <c r="E143" s="8"/>
      <c r="F143" s="67">
        <v>4</v>
      </c>
      <c r="G143" s="67"/>
      <c r="H143" s="67">
        <v>4</v>
      </c>
      <c r="I143" s="67"/>
      <c r="J143" s="67">
        <v>4</v>
      </c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>
        <v>4</v>
      </c>
      <c r="E145" s="8"/>
      <c r="F145" s="67">
        <v>4</v>
      </c>
      <c r="G145" s="67"/>
      <c r="H145" s="67">
        <v>4</v>
      </c>
      <c r="I145" s="67"/>
      <c r="J145" s="67">
        <v>4</v>
      </c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>
        <v>4</v>
      </c>
      <c r="E148" s="8"/>
      <c r="F148" s="67">
        <v>4</v>
      </c>
      <c r="G148" s="67"/>
      <c r="H148" s="67">
        <v>4</v>
      </c>
      <c r="I148" s="67"/>
      <c r="J148" s="67">
        <v>4</v>
      </c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>
        <v>4</v>
      </c>
      <c r="E149" s="8"/>
      <c r="F149" s="67">
        <v>4</v>
      </c>
      <c r="G149" s="67"/>
      <c r="H149" s="67">
        <v>4</v>
      </c>
      <c r="I149" s="67"/>
      <c r="J149" s="67">
        <v>4</v>
      </c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>
        <v>4</v>
      </c>
      <c r="E150" s="8"/>
      <c r="F150" s="67">
        <v>4</v>
      </c>
      <c r="G150" s="67"/>
      <c r="H150" s="67">
        <v>4</v>
      </c>
      <c r="I150" s="67"/>
      <c r="J150" s="67">
        <v>4</v>
      </c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>
        <v>4</v>
      </c>
      <c r="E153" s="8"/>
      <c r="F153" s="67">
        <v>4</v>
      </c>
      <c r="G153" s="67"/>
      <c r="H153" s="67">
        <v>4</v>
      </c>
      <c r="I153" s="67"/>
      <c r="J153" s="67">
        <v>4</v>
      </c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>
        <v>4</v>
      </c>
      <c r="E154" s="8"/>
      <c r="F154" s="67">
        <v>4</v>
      </c>
      <c r="G154" s="67"/>
      <c r="H154" s="67">
        <v>4</v>
      </c>
      <c r="I154" s="67"/>
      <c r="J154" s="67">
        <v>4</v>
      </c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>
        <v>4</v>
      </c>
      <c r="E156" s="8"/>
      <c r="F156" s="67">
        <v>4</v>
      </c>
      <c r="G156" s="67"/>
      <c r="H156" s="67">
        <v>4</v>
      </c>
      <c r="I156" s="67"/>
      <c r="J156" s="67">
        <v>4</v>
      </c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>
        <v>4</v>
      </c>
      <c r="E159" s="8"/>
      <c r="F159" s="67">
        <v>4</v>
      </c>
      <c r="G159" s="67"/>
      <c r="H159" s="67">
        <v>4</v>
      </c>
      <c r="I159" s="67"/>
      <c r="J159" s="67">
        <v>4</v>
      </c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>
        <v>4</v>
      </c>
      <c r="E160" s="8"/>
      <c r="F160" s="67">
        <v>4</v>
      </c>
      <c r="G160" s="67"/>
      <c r="H160" s="67">
        <v>4</v>
      </c>
      <c r="I160" s="67"/>
      <c r="J160" s="67">
        <v>4</v>
      </c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>
        <v>4</v>
      </c>
      <c r="E161" s="8"/>
      <c r="F161" s="67">
        <v>4</v>
      </c>
      <c r="G161" s="67"/>
      <c r="H161" s="67">
        <v>4</v>
      </c>
      <c r="I161" s="67"/>
      <c r="J161" s="67">
        <v>4</v>
      </c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>
        <v>4</v>
      </c>
      <c r="E162" s="8"/>
      <c r="F162" s="67">
        <v>4</v>
      </c>
      <c r="G162" s="67"/>
      <c r="H162" s="67">
        <v>4</v>
      </c>
      <c r="I162" s="67"/>
      <c r="J162" s="67">
        <v>4</v>
      </c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>
        <v>4</v>
      </c>
      <c r="E163" s="8"/>
      <c r="F163" s="67">
        <v>4</v>
      </c>
      <c r="G163" s="67"/>
      <c r="H163" s="67">
        <v>4</v>
      </c>
      <c r="I163" s="67"/>
      <c r="J163" s="67">
        <v>4</v>
      </c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>
        <v>4</v>
      </c>
      <c r="E166" s="8"/>
      <c r="F166" s="67">
        <v>4</v>
      </c>
      <c r="G166" s="67"/>
      <c r="H166" s="67">
        <v>4</v>
      </c>
      <c r="I166" s="67"/>
      <c r="J166" s="67">
        <v>4</v>
      </c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>
        <v>4</v>
      </c>
      <c r="E167" s="8"/>
      <c r="F167" s="67">
        <v>4</v>
      </c>
      <c r="G167" s="67"/>
      <c r="H167" s="67">
        <v>4</v>
      </c>
      <c r="I167" s="67"/>
      <c r="J167" s="67">
        <v>4</v>
      </c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>
        <v>4</v>
      </c>
      <c r="E168" s="8"/>
      <c r="F168" s="67">
        <v>4</v>
      </c>
      <c r="G168" s="67"/>
      <c r="H168" s="67">
        <v>4</v>
      </c>
      <c r="I168" s="67"/>
      <c r="J168" s="67">
        <v>4</v>
      </c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>
        <v>4</v>
      </c>
      <c r="E170" s="8"/>
      <c r="F170" s="67">
        <v>4</v>
      </c>
      <c r="G170" s="67"/>
      <c r="H170" s="67">
        <v>4</v>
      </c>
      <c r="I170" s="67"/>
      <c r="J170" s="67">
        <v>4</v>
      </c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>
        <v>4</v>
      </c>
      <c r="E171" s="8"/>
      <c r="F171" s="67">
        <v>4</v>
      </c>
      <c r="G171" s="67"/>
      <c r="H171" s="67">
        <v>4</v>
      </c>
      <c r="I171" s="67"/>
      <c r="J171" s="67">
        <v>4</v>
      </c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6" spans="1:16">
      <c r="B176"/>
    </row>
    <row r="177" spans="1:16" ht="15">
      <c r="B177" s="71" t="s">
        <v>44</v>
      </c>
      <c r="C177" s="71"/>
      <c r="D177" s="1">
        <f>SUM(D143:D174)</f>
        <v>72</v>
      </c>
      <c r="E177" s="1">
        <f t="shared" ref="E177:K177" si="9">SUM(E143:E174)</f>
        <v>0</v>
      </c>
      <c r="F177" s="1">
        <f t="shared" si="9"/>
        <v>72</v>
      </c>
      <c r="G177" s="1">
        <f t="shared" si="9"/>
        <v>0</v>
      </c>
      <c r="H177" s="1">
        <f t="shared" si="9"/>
        <v>72</v>
      </c>
      <c r="I177" s="1">
        <f t="shared" si="9"/>
        <v>0</v>
      </c>
      <c r="J177" s="1">
        <f t="shared" si="9"/>
        <v>72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B178"/>
      <c r="C178" s="64"/>
      <c r="D178" s="1">
        <f>COUNT(D143:D175)*5</f>
        <v>90</v>
      </c>
      <c r="E178" s="1">
        <f t="shared" ref="E178:K178" si="10">COUNT(E143:E175)*5</f>
        <v>0</v>
      </c>
      <c r="F178" s="1">
        <f t="shared" si="10"/>
        <v>90</v>
      </c>
      <c r="G178" s="1">
        <f t="shared" si="10"/>
        <v>0</v>
      </c>
      <c r="H178" s="1">
        <f t="shared" si="10"/>
        <v>90</v>
      </c>
      <c r="I178" s="1">
        <f t="shared" si="10"/>
        <v>0</v>
      </c>
      <c r="J178" s="1">
        <f t="shared" si="10"/>
        <v>90</v>
      </c>
      <c r="K178" s="1">
        <f t="shared" si="10"/>
        <v>0</v>
      </c>
      <c r="M178" s="18">
        <f>(D179+F179+H179+J179)/4</f>
        <v>0.8</v>
      </c>
      <c r="N178" s="18" t="e">
        <f>(E179+G179+I179+K179)/4</f>
        <v>#DIV/0!</v>
      </c>
    </row>
    <row r="179" spans="1:16" ht="15">
      <c r="B179"/>
      <c r="C179" s="2" t="s">
        <v>45</v>
      </c>
      <c r="D179" s="11">
        <f>D177/D178</f>
        <v>0.8</v>
      </c>
      <c r="E179" s="11" t="e">
        <f t="shared" ref="E179:K179" si="11">E177/E178</f>
        <v>#DIV/0!</v>
      </c>
      <c r="F179" s="11">
        <f t="shared" si="11"/>
        <v>0.8</v>
      </c>
      <c r="G179" s="11" t="e">
        <f t="shared" si="11"/>
        <v>#DIV/0!</v>
      </c>
      <c r="H179" s="11">
        <f t="shared" si="11"/>
        <v>0.8</v>
      </c>
      <c r="I179" s="11" t="e">
        <f t="shared" si="11"/>
        <v>#DIV/0!</v>
      </c>
      <c r="J179" s="11">
        <f t="shared" si="11"/>
        <v>0.8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>
        <v>46145</v>
      </c>
      <c r="E182" s="46"/>
      <c r="F182" s="42">
        <v>46152</v>
      </c>
      <c r="G182" s="42"/>
      <c r="H182" s="42">
        <v>46159</v>
      </c>
      <c r="I182" s="42"/>
      <c r="J182" s="42">
        <v>46166</v>
      </c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 t="s">
        <v>90</v>
      </c>
      <c r="E184" s="7"/>
      <c r="F184" s="38" t="s">
        <v>90</v>
      </c>
      <c r="G184" s="38"/>
      <c r="H184" s="38" t="s">
        <v>90</v>
      </c>
      <c r="I184" s="38"/>
      <c r="J184" s="38" t="s">
        <v>90</v>
      </c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>
        <v>4</v>
      </c>
      <c r="E185" s="65"/>
      <c r="F185" s="67">
        <v>4</v>
      </c>
      <c r="G185" s="67"/>
      <c r="H185" s="67">
        <v>4</v>
      </c>
      <c r="I185" s="67"/>
      <c r="J185" s="67">
        <v>4</v>
      </c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>
        <v>4</v>
      </c>
      <c r="E187" s="65"/>
      <c r="F187" s="67">
        <v>4</v>
      </c>
      <c r="G187" s="67"/>
      <c r="H187" s="67">
        <v>4</v>
      </c>
      <c r="I187" s="67"/>
      <c r="J187" s="67">
        <v>4</v>
      </c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>
        <v>4</v>
      </c>
      <c r="E190" s="65"/>
      <c r="F190" s="67">
        <v>4</v>
      </c>
      <c r="G190" s="67"/>
      <c r="H190" s="67">
        <v>4</v>
      </c>
      <c r="I190" s="67"/>
      <c r="J190" s="67">
        <v>4</v>
      </c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>
        <v>4</v>
      </c>
      <c r="E191" s="65"/>
      <c r="F191" s="67">
        <v>4</v>
      </c>
      <c r="G191" s="67"/>
      <c r="H191" s="67">
        <v>4</v>
      </c>
      <c r="I191" s="67"/>
      <c r="J191" s="67">
        <v>4</v>
      </c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>
        <v>4</v>
      </c>
      <c r="E192" s="65"/>
      <c r="F192" s="67">
        <v>4</v>
      </c>
      <c r="G192" s="67"/>
      <c r="H192" s="67">
        <v>4</v>
      </c>
      <c r="I192" s="67"/>
      <c r="J192" s="67">
        <v>4</v>
      </c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>
        <v>4</v>
      </c>
      <c r="E195" s="65"/>
      <c r="F195" s="67">
        <v>4</v>
      </c>
      <c r="G195" s="67"/>
      <c r="H195" s="67">
        <v>4</v>
      </c>
      <c r="I195" s="67"/>
      <c r="J195" s="67">
        <v>4</v>
      </c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>
        <v>4</v>
      </c>
      <c r="E196" s="65"/>
      <c r="F196" s="67">
        <v>4</v>
      </c>
      <c r="G196" s="67"/>
      <c r="H196" s="67">
        <v>4</v>
      </c>
      <c r="I196" s="67"/>
      <c r="J196" s="67">
        <v>4</v>
      </c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>
        <v>4</v>
      </c>
      <c r="E198" s="65"/>
      <c r="F198" s="67">
        <v>4</v>
      </c>
      <c r="G198" s="67"/>
      <c r="H198" s="67">
        <v>4</v>
      </c>
      <c r="I198" s="67"/>
      <c r="J198" s="67">
        <v>4</v>
      </c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>
        <v>4</v>
      </c>
      <c r="E201" s="65"/>
      <c r="F201" s="67">
        <v>4</v>
      </c>
      <c r="G201" s="67"/>
      <c r="H201" s="67">
        <v>4</v>
      </c>
      <c r="I201" s="67"/>
      <c r="J201" s="67">
        <v>4</v>
      </c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>
        <v>4</v>
      </c>
      <c r="E202" s="65"/>
      <c r="F202" s="67">
        <v>4</v>
      </c>
      <c r="G202" s="67"/>
      <c r="H202" s="67">
        <v>4</v>
      </c>
      <c r="I202" s="67"/>
      <c r="J202" s="67">
        <v>4</v>
      </c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>
        <v>4</v>
      </c>
      <c r="E203" s="65"/>
      <c r="F203" s="67">
        <v>4</v>
      </c>
      <c r="G203" s="67"/>
      <c r="H203" s="67">
        <v>4</v>
      </c>
      <c r="I203" s="67"/>
      <c r="J203" s="67">
        <v>4</v>
      </c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>
        <v>4</v>
      </c>
      <c r="E204" s="65"/>
      <c r="F204" s="67">
        <v>4</v>
      </c>
      <c r="G204" s="67"/>
      <c r="H204" s="67">
        <v>4</v>
      </c>
      <c r="I204" s="67"/>
      <c r="J204" s="67">
        <v>4</v>
      </c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>
        <v>4</v>
      </c>
      <c r="E205" s="65"/>
      <c r="F205" s="67">
        <v>4</v>
      </c>
      <c r="G205" s="67"/>
      <c r="H205" s="67">
        <v>4</v>
      </c>
      <c r="I205" s="67"/>
      <c r="J205" s="67">
        <v>4</v>
      </c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>
        <v>4</v>
      </c>
      <c r="E208" s="65"/>
      <c r="F208" s="67">
        <v>4</v>
      </c>
      <c r="G208" s="67"/>
      <c r="H208" s="67">
        <v>4</v>
      </c>
      <c r="I208" s="67"/>
      <c r="J208" s="67">
        <v>4</v>
      </c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>
        <v>4</v>
      </c>
      <c r="E209" s="65"/>
      <c r="F209" s="67">
        <v>4</v>
      </c>
      <c r="G209" s="67"/>
      <c r="H209" s="67">
        <v>4</v>
      </c>
      <c r="I209" s="67"/>
      <c r="J209" s="67">
        <v>4</v>
      </c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>
        <v>4</v>
      </c>
      <c r="E210" s="65"/>
      <c r="F210" s="67">
        <v>4</v>
      </c>
      <c r="G210" s="67"/>
      <c r="H210" s="67">
        <v>4</v>
      </c>
      <c r="I210" s="67"/>
      <c r="J210" s="67">
        <v>4</v>
      </c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>
        <v>4</v>
      </c>
      <c r="E212" s="65"/>
      <c r="F212" s="67">
        <v>4</v>
      </c>
      <c r="G212" s="67"/>
      <c r="H212" s="67">
        <v>4</v>
      </c>
      <c r="I212" s="67"/>
      <c r="J212" s="67">
        <v>4</v>
      </c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>
        <v>4</v>
      </c>
      <c r="E213" s="65"/>
      <c r="F213" s="67">
        <v>4</v>
      </c>
      <c r="G213" s="67"/>
      <c r="H213" s="67">
        <v>4</v>
      </c>
      <c r="I213" s="67"/>
      <c r="J213" s="67">
        <v>4</v>
      </c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8" spans="1:16">
      <c r="B218"/>
    </row>
    <row r="219" spans="1:16" ht="15">
      <c r="B219" s="71" t="s">
        <v>44</v>
      </c>
      <c r="C219" s="71"/>
      <c r="D219" s="1">
        <f>SUM(D185:D216)</f>
        <v>72</v>
      </c>
      <c r="E219" s="1">
        <f t="shared" ref="E219:K219" si="12">SUM(E185:E216)</f>
        <v>0</v>
      </c>
      <c r="F219" s="1">
        <f t="shared" si="12"/>
        <v>72</v>
      </c>
      <c r="G219" s="1">
        <f t="shared" si="12"/>
        <v>0</v>
      </c>
      <c r="H219" s="1">
        <f t="shared" si="12"/>
        <v>72</v>
      </c>
      <c r="I219" s="1">
        <f t="shared" si="12"/>
        <v>0</v>
      </c>
      <c r="J219" s="1">
        <f t="shared" si="12"/>
        <v>72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B220"/>
      <c r="C220" s="64"/>
      <c r="D220" s="1">
        <f>COUNT(D185:D217)*5</f>
        <v>90</v>
      </c>
      <c r="E220" s="1">
        <f t="shared" ref="E220:K220" si="13">COUNT(E185:E217)*5</f>
        <v>0</v>
      </c>
      <c r="F220" s="1">
        <f t="shared" si="13"/>
        <v>90</v>
      </c>
      <c r="G220" s="1">
        <f t="shared" si="13"/>
        <v>0</v>
      </c>
      <c r="H220" s="1">
        <f t="shared" si="13"/>
        <v>90</v>
      </c>
      <c r="I220" s="1">
        <f t="shared" si="13"/>
        <v>0</v>
      </c>
      <c r="J220" s="1">
        <f t="shared" si="13"/>
        <v>90</v>
      </c>
      <c r="K220" s="1">
        <f t="shared" si="13"/>
        <v>0</v>
      </c>
      <c r="M220" s="18">
        <f>(D221+F221+H221+J221)/4</f>
        <v>0.8</v>
      </c>
      <c r="N220" s="18" t="e">
        <f>(E221+G221+I221+K221)/4</f>
        <v>#DIV/0!</v>
      </c>
    </row>
    <row r="221" spans="1:16" ht="15">
      <c r="B221"/>
      <c r="C221" s="2" t="s">
        <v>45</v>
      </c>
      <c r="D221" s="11">
        <f>D219/D220</f>
        <v>0.8</v>
      </c>
      <c r="E221" s="11" t="e">
        <f t="shared" ref="E221:K221" si="14">E219/E220</f>
        <v>#DIV/0!</v>
      </c>
      <c r="F221" s="11">
        <f t="shared" si="14"/>
        <v>0.8</v>
      </c>
      <c r="G221" s="11" t="e">
        <f t="shared" si="14"/>
        <v>#DIV/0!</v>
      </c>
      <c r="H221" s="11">
        <f t="shared" si="14"/>
        <v>0.8</v>
      </c>
      <c r="I221" s="11" t="e">
        <f t="shared" si="14"/>
        <v>#DIV/0!</v>
      </c>
      <c r="J221" s="11">
        <f t="shared" si="14"/>
        <v>0.8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>
        <v>4</v>
      </c>
      <c r="E255" s="65"/>
      <c r="F255" s="65">
        <v>4</v>
      </c>
      <c r="G255" s="65"/>
      <c r="H255" s="65">
        <v>4</v>
      </c>
      <c r="I255" s="65"/>
      <c r="J255" s="65">
        <v>4</v>
      </c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/>
      <c r="E258" s="65"/>
      <c r="F258" s="65"/>
      <c r="G258" s="65"/>
      <c r="H258" s="65"/>
      <c r="I258" s="65"/>
      <c r="J258" s="65"/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B260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B262"/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B263"/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9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>
        <v>4</v>
      </c>
      <c r="E297" s="56"/>
      <c r="F297" s="56">
        <v>4</v>
      </c>
      <c r="G297" s="56"/>
      <c r="H297" s="56">
        <v>4</v>
      </c>
      <c r="I297" s="56"/>
      <c r="J297" s="56">
        <v>4</v>
      </c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/>
      <c r="E300" s="56"/>
      <c r="F300" s="56"/>
      <c r="G300" s="56"/>
      <c r="H300" s="56"/>
      <c r="I300" s="56"/>
      <c r="J300" s="56"/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2" spans="1:16">
      <c r="B302"/>
    </row>
    <row r="303" spans="1:16" ht="15">
      <c r="B303" s="71" t="s">
        <v>44</v>
      </c>
      <c r="C303" s="71"/>
      <c r="D303" s="1">
        <f>SUM(D269:D300)</f>
        <v>72</v>
      </c>
      <c r="E303" s="1">
        <f t="shared" ref="E303:K303" si="18">SUM(E269:E300)</f>
        <v>0</v>
      </c>
      <c r="F303" s="1">
        <f t="shared" si="18"/>
        <v>72</v>
      </c>
      <c r="G303" s="1">
        <f t="shared" si="18"/>
        <v>0</v>
      </c>
      <c r="H303" s="1">
        <f t="shared" si="18"/>
        <v>72</v>
      </c>
      <c r="I303" s="1">
        <f t="shared" si="18"/>
        <v>0</v>
      </c>
      <c r="J303" s="1">
        <f t="shared" si="18"/>
        <v>72</v>
      </c>
      <c r="K303" s="1">
        <f t="shared" si="18"/>
        <v>0</v>
      </c>
      <c r="M303" s="17" t="s">
        <v>2</v>
      </c>
      <c r="N303" s="17" t="s">
        <v>3</v>
      </c>
    </row>
    <row r="304" spans="1:16" ht="15">
      <c r="B304"/>
      <c r="C304" s="64"/>
      <c r="D304" s="1">
        <f>COUNT(D269:D301)*5</f>
        <v>90</v>
      </c>
      <c r="E304" s="1">
        <f t="shared" ref="E304:K304" si="19">COUNT(E269:E301)*5</f>
        <v>0</v>
      </c>
      <c r="F304" s="1">
        <f t="shared" si="19"/>
        <v>90</v>
      </c>
      <c r="G304" s="1">
        <f t="shared" si="19"/>
        <v>0</v>
      </c>
      <c r="H304" s="1">
        <f t="shared" si="19"/>
        <v>90</v>
      </c>
      <c r="I304" s="1">
        <f t="shared" si="19"/>
        <v>0</v>
      </c>
      <c r="J304" s="1">
        <f t="shared" si="19"/>
        <v>90</v>
      </c>
      <c r="K304" s="1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B305"/>
      <c r="C305" s="2" t="s">
        <v>45</v>
      </c>
      <c r="D305" s="11">
        <f>D303/D304</f>
        <v>0.8</v>
      </c>
      <c r="E305" s="11" t="e">
        <f t="shared" ref="E305:K305" si="20">E303/E304</f>
        <v>#DIV/0!</v>
      </c>
      <c r="F305" s="11">
        <f t="shared" si="20"/>
        <v>0.8</v>
      </c>
      <c r="G305" s="11" t="e">
        <f t="shared" si="20"/>
        <v>#DIV/0!</v>
      </c>
      <c r="H305" s="11">
        <f t="shared" si="20"/>
        <v>0.8</v>
      </c>
      <c r="I305" s="11" t="e">
        <f t="shared" si="20"/>
        <v>#DIV/0!</v>
      </c>
      <c r="J305" s="11">
        <f t="shared" si="20"/>
        <v>0.8</v>
      </c>
      <c r="K305" s="11" t="e">
        <f t="shared" si="20"/>
        <v>#DIV/0!</v>
      </c>
      <c r="L305" s="4"/>
      <c r="M305" s="4"/>
      <c r="N305" s="4"/>
      <c r="O305" s="4"/>
      <c r="P305" s="4"/>
    </row>
    <row r="306" spans="1:16" s="22" customFormat="1"/>
    <row r="307" spans="1:16" ht="18">
      <c r="B307" s="16" t="s">
        <v>52</v>
      </c>
      <c r="C307" s="23" t="s">
        <v>6</v>
      </c>
      <c r="D307" s="75" t="s">
        <v>7</v>
      </c>
      <c r="E307" s="76"/>
      <c r="F307" s="75" t="s">
        <v>8</v>
      </c>
      <c r="G307" s="76"/>
      <c r="H307" s="75" t="s">
        <v>9</v>
      </c>
      <c r="I307" s="76"/>
      <c r="J307" s="75" t="s">
        <v>10</v>
      </c>
      <c r="K307" s="76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1">
        <v>46236</v>
      </c>
      <c r="E308" s="46"/>
      <c r="F308" s="46">
        <v>46243</v>
      </c>
      <c r="G308" s="46"/>
      <c r="H308" s="46">
        <v>46250</v>
      </c>
      <c r="I308" s="46"/>
      <c r="J308" s="46">
        <v>46257</v>
      </c>
      <c r="K308" s="46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7" t="s">
        <v>2</v>
      </c>
      <c r="E309" s="7" t="s">
        <v>15</v>
      </c>
      <c r="F309" s="7" t="s">
        <v>2</v>
      </c>
      <c r="G309" s="7" t="s">
        <v>15</v>
      </c>
      <c r="H309" s="7" t="s">
        <v>2</v>
      </c>
      <c r="I309" s="7" t="s">
        <v>15</v>
      </c>
      <c r="J309" s="7" t="s">
        <v>2</v>
      </c>
      <c r="K309" s="7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7"/>
      <c r="F310" s="7" t="s">
        <v>90</v>
      </c>
      <c r="G310" s="7"/>
      <c r="H310" s="7" t="s">
        <v>90</v>
      </c>
      <c r="I310" s="7"/>
      <c r="J310" s="7" t="s">
        <v>90</v>
      </c>
      <c r="K310" s="7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65"/>
      <c r="F311" s="65">
        <v>4</v>
      </c>
      <c r="G311" s="65"/>
      <c r="H311" s="65">
        <v>4</v>
      </c>
      <c r="I311" s="65"/>
      <c r="J311" s="65">
        <v>4</v>
      </c>
      <c r="K311" s="65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47"/>
      <c r="F312" s="47"/>
      <c r="G312" s="47"/>
      <c r="H312" s="47"/>
      <c r="I312" s="47"/>
      <c r="J312" s="47"/>
      <c r="K312" s="4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65"/>
      <c r="F313" s="65">
        <v>4</v>
      </c>
      <c r="G313" s="65"/>
      <c r="H313" s="65">
        <v>4</v>
      </c>
      <c r="I313" s="65"/>
      <c r="J313" s="65">
        <v>4</v>
      </c>
      <c r="K313" s="65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47"/>
      <c r="F314" s="47"/>
      <c r="G314" s="47"/>
      <c r="H314" s="47"/>
      <c r="I314" s="47"/>
      <c r="J314" s="47"/>
      <c r="K314" s="4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48"/>
      <c r="F315" s="48"/>
      <c r="G315" s="48"/>
      <c r="H315" s="48"/>
      <c r="I315" s="48"/>
      <c r="J315" s="48"/>
      <c r="K315" s="4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65"/>
      <c r="F316" s="65">
        <v>4</v>
      </c>
      <c r="G316" s="65"/>
      <c r="H316" s="65">
        <v>4</v>
      </c>
      <c r="I316" s="65"/>
      <c r="J316" s="65">
        <v>4</v>
      </c>
      <c r="K316" s="65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65"/>
      <c r="F317" s="65">
        <v>4</v>
      </c>
      <c r="G317" s="65"/>
      <c r="H317" s="65">
        <v>4</v>
      </c>
      <c r="I317" s="65"/>
      <c r="J317" s="65">
        <v>4</v>
      </c>
      <c r="K317" s="65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65"/>
      <c r="F318" s="65">
        <v>4</v>
      </c>
      <c r="G318" s="65"/>
      <c r="H318" s="65">
        <v>4</v>
      </c>
      <c r="I318" s="65"/>
      <c r="J318" s="65">
        <v>4</v>
      </c>
      <c r="K318" s="65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47"/>
      <c r="F319" s="47"/>
      <c r="G319" s="47"/>
      <c r="H319" s="47"/>
      <c r="I319" s="47"/>
      <c r="J319" s="47"/>
      <c r="K319" s="4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48"/>
      <c r="F320" s="48"/>
      <c r="G320" s="48"/>
      <c r="H320" s="48"/>
      <c r="I320" s="48"/>
      <c r="J320" s="48"/>
      <c r="K320" s="4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65"/>
      <c r="F321" s="65">
        <v>4</v>
      </c>
      <c r="G321" s="65"/>
      <c r="H321" s="65">
        <v>4</v>
      </c>
      <c r="I321" s="65"/>
      <c r="J321" s="65">
        <v>4</v>
      </c>
      <c r="K321" s="65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65"/>
      <c r="F322" s="65">
        <v>4</v>
      </c>
      <c r="G322" s="65"/>
      <c r="H322" s="65">
        <v>4</v>
      </c>
      <c r="I322" s="65"/>
      <c r="J322" s="65">
        <v>4</v>
      </c>
      <c r="K322" s="65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47"/>
      <c r="F323" s="47"/>
      <c r="G323" s="47"/>
      <c r="H323" s="47"/>
      <c r="I323" s="47"/>
      <c r="J323" s="47"/>
      <c r="K323" s="4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65"/>
      <c r="F324" s="65">
        <v>4</v>
      </c>
      <c r="G324" s="65"/>
      <c r="H324" s="65">
        <v>4</v>
      </c>
      <c r="I324" s="65"/>
      <c r="J324" s="65">
        <v>4</v>
      </c>
      <c r="K324" s="65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47"/>
      <c r="F325" s="47"/>
      <c r="G325" s="47"/>
      <c r="H325" s="47"/>
      <c r="I325" s="47"/>
      <c r="J325" s="47"/>
      <c r="K325" s="4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48"/>
      <c r="F326" s="48"/>
      <c r="G326" s="48"/>
      <c r="H326" s="48"/>
      <c r="I326" s="48"/>
      <c r="J326" s="48"/>
      <c r="K326" s="4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65"/>
      <c r="F327" s="65">
        <v>4</v>
      </c>
      <c r="G327" s="65"/>
      <c r="H327" s="65">
        <v>4</v>
      </c>
      <c r="I327" s="65"/>
      <c r="J327" s="65">
        <v>4</v>
      </c>
      <c r="K327" s="65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65"/>
      <c r="F328" s="65">
        <v>4</v>
      </c>
      <c r="G328" s="65"/>
      <c r="H328" s="65">
        <v>4</v>
      </c>
      <c r="I328" s="65"/>
      <c r="J328" s="65">
        <v>4</v>
      </c>
      <c r="K328" s="65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65"/>
      <c r="F329" s="65">
        <v>4</v>
      </c>
      <c r="G329" s="65"/>
      <c r="H329" s="65">
        <v>4</v>
      </c>
      <c r="I329" s="65"/>
      <c r="J329" s="65">
        <v>4</v>
      </c>
      <c r="K329" s="65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65"/>
      <c r="F330" s="65">
        <v>4</v>
      </c>
      <c r="G330" s="65"/>
      <c r="H330" s="65">
        <v>4</v>
      </c>
      <c r="I330" s="65"/>
      <c r="J330" s="65">
        <v>4</v>
      </c>
      <c r="K330" s="65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65"/>
      <c r="F331" s="65">
        <v>4</v>
      </c>
      <c r="G331" s="65"/>
      <c r="H331" s="65">
        <v>4</v>
      </c>
      <c r="I331" s="65"/>
      <c r="J331" s="65">
        <v>4</v>
      </c>
      <c r="K331" s="65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47"/>
      <c r="F332" s="47"/>
      <c r="G332" s="47"/>
      <c r="H332" s="47"/>
      <c r="I332" s="47"/>
      <c r="J332" s="47"/>
      <c r="K332" s="4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48"/>
      <c r="F333" s="48"/>
      <c r="G333" s="48"/>
      <c r="H333" s="48"/>
      <c r="I333" s="48"/>
      <c r="J333" s="48"/>
      <c r="K333" s="4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65"/>
      <c r="F334" s="65">
        <v>4</v>
      </c>
      <c r="G334" s="65"/>
      <c r="H334" s="65">
        <v>4</v>
      </c>
      <c r="I334" s="65"/>
      <c r="J334" s="65">
        <v>4</v>
      </c>
      <c r="K334" s="65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65"/>
      <c r="F335" s="65">
        <v>4</v>
      </c>
      <c r="G335" s="65"/>
      <c r="H335" s="65">
        <v>4</v>
      </c>
      <c r="I335" s="65"/>
      <c r="J335" s="65">
        <v>4</v>
      </c>
      <c r="K335" s="65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65"/>
      <c r="F336" s="65">
        <v>4</v>
      </c>
      <c r="G336" s="65"/>
      <c r="H336" s="65">
        <v>4</v>
      </c>
      <c r="I336" s="65"/>
      <c r="J336" s="65">
        <v>4</v>
      </c>
      <c r="K336" s="65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65"/>
      <c r="F337" s="65"/>
      <c r="G337" s="65"/>
      <c r="H337" s="65"/>
      <c r="I337" s="65"/>
      <c r="J337" s="65"/>
      <c r="K337" s="65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65"/>
      <c r="F338" s="65">
        <v>4</v>
      </c>
      <c r="G338" s="65"/>
      <c r="H338" s="65">
        <v>4</v>
      </c>
      <c r="I338" s="65"/>
      <c r="J338" s="65">
        <v>4</v>
      </c>
      <c r="K338" s="65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>
        <v>4</v>
      </c>
      <c r="E339" s="65"/>
      <c r="F339" s="65">
        <v>4</v>
      </c>
      <c r="G339" s="65"/>
      <c r="H339" s="65">
        <v>4</v>
      </c>
      <c r="I339" s="65"/>
      <c r="J339" s="65">
        <v>4</v>
      </c>
      <c r="K339" s="65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65"/>
      <c r="F340" s="65"/>
      <c r="G340" s="65"/>
      <c r="H340" s="65"/>
      <c r="I340" s="65"/>
      <c r="J340" s="65"/>
      <c r="K340" s="65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65"/>
      <c r="F341" s="65"/>
      <c r="G341" s="65"/>
      <c r="H341" s="65"/>
      <c r="I341" s="65"/>
      <c r="J341" s="65"/>
      <c r="K341" s="65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/>
      <c r="E342" s="65"/>
      <c r="F342" s="65"/>
      <c r="G342" s="65"/>
      <c r="H342" s="65"/>
      <c r="I342" s="65"/>
      <c r="J342" s="65"/>
      <c r="K342" s="65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47"/>
      <c r="F343" s="47"/>
      <c r="G343" s="47"/>
      <c r="H343" s="47"/>
      <c r="I343" s="47"/>
      <c r="J343" s="47"/>
      <c r="K343" s="47"/>
      <c r="L343" s="86"/>
      <c r="M343" s="86"/>
      <c r="N343" s="86"/>
      <c r="O343" s="86"/>
      <c r="P343" s="86"/>
    </row>
    <row r="344" spans="1:16">
      <c r="B344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B346"/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B347"/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6" spans="1:16">
      <c r="B3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B388"/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B389"/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8" spans="1:16">
      <c r="B428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B430"/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B431"/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0" spans="1:16">
      <c r="B470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B472"/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B473"/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2" spans="1:16">
      <c r="B512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B514"/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B515"/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</mergeCells>
  <hyperlinks>
    <hyperlink ref="B2" location="'ALL STAFF'!A1" display="&lt;BACK" xr:uid="{6648B221-1B16-48F7-9385-D20B56DCD78B}"/>
    <hyperlink ref="C13" location="'ALL STAFF'!A1" display="&lt;BACK" xr:uid="{E39FB187-1C14-4D46-B09A-BF0CDEE4430D}"/>
    <hyperlink ref="C55" location="'ALL STAFF'!A1" display="&lt;BACK" xr:uid="{47DD59E0-0BC6-421B-96F9-9C9A90201EDE}"/>
    <hyperlink ref="C97" location="'ALL STAFF'!A1" display="&lt;BACK" xr:uid="{11A3FEE0-59B3-47FC-8C2E-4025101286BE}"/>
    <hyperlink ref="C139" location="'ALL STAFF'!A1" display="&lt;BACK" xr:uid="{244BC178-6859-49C8-8C13-A8D4053E76A7}"/>
    <hyperlink ref="C181" location="'ALL STAFF'!A1" display="&lt;BACK" xr:uid="{3BC728E7-F122-4268-A9F6-CF351F544A6A}"/>
    <hyperlink ref="C223" location="'ALL STAFF'!A1" display="&lt;BACK" xr:uid="{3E4470DE-AE9F-4B1D-BCF3-048F2BD12D9D}"/>
    <hyperlink ref="C265" location="'ALL STAFF'!A1" display="&lt;BACK" xr:uid="{8D8151B1-385F-4FDA-A092-17526FC1D0AF}"/>
    <hyperlink ref="C307" location="'ALL STAFF'!A1" display="&lt;BACK" xr:uid="{E66CA0B7-7677-400F-B997-90ED6AEEE953}"/>
    <hyperlink ref="C349" location="'ALL STAFF'!A1" display="&lt;BACK" xr:uid="{0AC37857-F971-4991-9A63-6D34C1204242}"/>
    <hyperlink ref="C391" location="'ALL STAFF'!A1" display="&lt;BACK" xr:uid="{1AC10B99-2278-435D-A283-53B1B5EA5524}"/>
    <hyperlink ref="C433" location="'ALL STAFF'!A1" display="&lt;BACK" xr:uid="{75851903-587F-4FCA-92D5-33B8F92C612E}"/>
    <hyperlink ref="C475" location="'ALL STAFF'!A1" display="&lt;BACK" xr:uid="{589A0A4B-D4C3-4997-87E2-B91A48328A68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5E26AA-0D9B-405B-96C5-7138C336B616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 F294 D292:K293 D296:K300 D294:E295 G294:K295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D66A-A444-444E-841C-F931B000BEC2}">
  <sheetPr codeName="Sheet9"/>
  <dimension ref="A1:T515"/>
  <sheetViews>
    <sheetView topLeftCell="A310" zoomScale="80" zoomScaleNormal="80" workbookViewId="0">
      <selection activeCell="J352" sqref="J352"/>
    </sheetView>
  </sheetViews>
  <sheetFormatPr defaultRowHeight="14.25"/>
  <cols>
    <col min="1" max="1" width="5" customWidth="1"/>
    <col min="2" max="2" width="52.625" style="43" customWidth="1"/>
    <col min="3" max="3" width="7.875" customWidth="1"/>
    <col min="4" max="16" width="12.625" customWidth="1"/>
    <col min="17" max="17" width="5.125" customWidth="1"/>
  </cols>
  <sheetData>
    <row r="1" spans="1:20" ht="24" thickBot="1">
      <c r="A1" s="5" t="s">
        <v>0</v>
      </c>
      <c r="R1" s="19" t="s">
        <v>1</v>
      </c>
      <c r="S1" s="19" t="s">
        <v>2</v>
      </c>
      <c r="T1" s="19" t="s">
        <v>3</v>
      </c>
    </row>
    <row r="2" spans="1:20" ht="15">
      <c r="A2" s="25"/>
      <c r="B2" s="44" t="s">
        <v>6</v>
      </c>
      <c r="R2" s="20">
        <v>46023</v>
      </c>
      <c r="S2" s="21" t="e">
        <f>M52</f>
        <v>#DIV/0!</v>
      </c>
      <c r="T2" s="21" t="e">
        <f>N52</f>
        <v>#DIV/0!</v>
      </c>
    </row>
    <row r="3" spans="1:20" ht="15">
      <c r="A3" s="26" t="s">
        <v>4</v>
      </c>
      <c r="R3" s="20">
        <v>46054</v>
      </c>
      <c r="S3" s="21" t="e">
        <f>M94</f>
        <v>#DIV/0!</v>
      </c>
      <c r="T3" s="21" t="e">
        <f>N94</f>
        <v>#DIV/0!</v>
      </c>
    </row>
    <row r="4" spans="1:20" ht="15">
      <c r="A4" s="27">
        <v>1</v>
      </c>
      <c r="R4" s="20">
        <v>46082</v>
      </c>
      <c r="S4" s="21" t="e">
        <f>M136</f>
        <v>#DIV/0!</v>
      </c>
      <c r="T4" s="21" t="e">
        <f>N136</f>
        <v>#DIV/0!</v>
      </c>
    </row>
    <row r="5" spans="1:20" ht="15">
      <c r="A5" s="27">
        <v>2</v>
      </c>
      <c r="R5" s="20">
        <v>46113</v>
      </c>
      <c r="S5" s="21">
        <f>M178</f>
        <v>0.8</v>
      </c>
      <c r="T5" s="21" t="e">
        <f>N178</f>
        <v>#DIV/0!</v>
      </c>
    </row>
    <row r="6" spans="1:20" ht="15">
      <c r="A6" s="27">
        <v>3</v>
      </c>
      <c r="R6" s="20">
        <v>46143</v>
      </c>
      <c r="S6" s="21">
        <f>M220</f>
        <v>0.8</v>
      </c>
      <c r="T6" s="21" t="e">
        <f>N220</f>
        <v>#DIV/0!</v>
      </c>
    </row>
    <row r="7" spans="1:20" ht="15">
      <c r="A7" s="27">
        <v>4</v>
      </c>
      <c r="R7" s="20">
        <v>46174</v>
      </c>
      <c r="S7" s="21">
        <f>M262</f>
        <v>0.8</v>
      </c>
      <c r="T7" s="21" t="e">
        <f>N262</f>
        <v>#DIV/0!</v>
      </c>
    </row>
    <row r="8" spans="1:20" ht="15.75" thickBot="1">
      <c r="A8" s="28">
        <v>5</v>
      </c>
      <c r="R8" s="20">
        <v>46204</v>
      </c>
      <c r="S8" s="21">
        <f>M304</f>
        <v>0.8</v>
      </c>
      <c r="T8" s="21" t="e">
        <f>N304</f>
        <v>#DIV/0!</v>
      </c>
    </row>
    <row r="9" spans="1:20" ht="15">
      <c r="R9" s="20">
        <v>46235</v>
      </c>
      <c r="S9" s="21">
        <f>M346</f>
        <v>0.8</v>
      </c>
      <c r="T9" s="21" t="e">
        <f>N346</f>
        <v>#DIV/0!</v>
      </c>
    </row>
    <row r="10" spans="1:20" ht="15">
      <c r="R10" s="20">
        <v>46266</v>
      </c>
      <c r="S10" s="21" t="e">
        <f>M388</f>
        <v>#DIV/0!</v>
      </c>
      <c r="T10" s="21" t="e">
        <f>N388</f>
        <v>#DIV/0!</v>
      </c>
    </row>
    <row r="11" spans="1:20" ht="15">
      <c r="R11" s="20">
        <v>46296</v>
      </c>
      <c r="S11" s="21" t="e">
        <f>M430</f>
        <v>#DIV/0!</v>
      </c>
      <c r="T11" s="21" t="e">
        <f>N430</f>
        <v>#DIV/0!</v>
      </c>
    </row>
    <row r="12" spans="1:20" ht="15">
      <c r="R12" s="20">
        <v>46327</v>
      </c>
      <c r="S12" s="21" t="e">
        <f>M472</f>
        <v>#DIV/0!</v>
      </c>
      <c r="T12" s="21" t="e">
        <f>N472</f>
        <v>#DIV/0!</v>
      </c>
    </row>
    <row r="13" spans="1:20" ht="18">
      <c r="B13" s="16" t="s">
        <v>5</v>
      </c>
      <c r="C13" s="23" t="s">
        <v>6</v>
      </c>
      <c r="D13" s="89" t="s">
        <v>7</v>
      </c>
      <c r="E13" s="89"/>
      <c r="F13" s="89" t="s">
        <v>8</v>
      </c>
      <c r="G13" s="89"/>
      <c r="H13" s="89" t="s">
        <v>9</v>
      </c>
      <c r="I13" s="89"/>
      <c r="J13" s="89" t="s">
        <v>10</v>
      </c>
      <c r="K13" s="89"/>
      <c r="R13" s="20">
        <v>46357</v>
      </c>
      <c r="S13" s="50" t="e">
        <f>M514</f>
        <v>#DIV/0!</v>
      </c>
      <c r="T13" s="50" t="e">
        <f>N514</f>
        <v>#DIV/0!</v>
      </c>
    </row>
    <row r="14" spans="1:20" s="1" customFormat="1" ht="15">
      <c r="A14" s="90" t="s">
        <v>11</v>
      </c>
      <c r="B14" s="90" t="s">
        <v>12</v>
      </c>
      <c r="C14" s="6" t="s">
        <v>13</v>
      </c>
      <c r="D14" s="46"/>
      <c r="E14" s="46"/>
      <c r="F14" s="46"/>
      <c r="G14" s="46"/>
      <c r="H14" s="46"/>
      <c r="I14" s="46"/>
      <c r="J14" s="46"/>
      <c r="K14" s="46"/>
      <c r="L14" s="81" t="s">
        <v>14</v>
      </c>
      <c r="M14" s="81"/>
      <c r="N14" s="81"/>
      <c r="O14" s="81"/>
      <c r="P14" s="81"/>
    </row>
    <row r="15" spans="1:20" s="1" customFormat="1" ht="15">
      <c r="A15" s="90"/>
      <c r="B15" s="90"/>
      <c r="C15" s="6"/>
      <c r="D15" s="7" t="s">
        <v>2</v>
      </c>
      <c r="E15" s="7" t="s">
        <v>15</v>
      </c>
      <c r="F15" s="7" t="s">
        <v>2</v>
      </c>
      <c r="G15" s="7" t="s">
        <v>15</v>
      </c>
      <c r="H15" s="7" t="s">
        <v>2</v>
      </c>
      <c r="I15" s="7" t="s">
        <v>15</v>
      </c>
      <c r="J15" s="7" t="s">
        <v>2</v>
      </c>
      <c r="K15" s="7" t="s">
        <v>15</v>
      </c>
      <c r="L15" s="81"/>
      <c r="M15" s="81"/>
      <c r="N15" s="81"/>
      <c r="O15" s="81"/>
      <c r="P15" s="81"/>
    </row>
    <row r="16" spans="1:20" s="1" customFormat="1" ht="15">
      <c r="A16" s="90"/>
      <c r="B16" s="90"/>
      <c r="C16" s="6" t="s">
        <v>16</v>
      </c>
      <c r="D16" s="7"/>
      <c r="E16" s="7"/>
      <c r="F16" s="7"/>
      <c r="G16" s="7"/>
      <c r="H16" s="7"/>
      <c r="I16" s="7"/>
      <c r="J16" s="7"/>
      <c r="K16" s="7"/>
      <c r="L16" s="81"/>
      <c r="M16" s="81"/>
      <c r="N16" s="81"/>
      <c r="O16" s="81"/>
      <c r="P16" s="81"/>
    </row>
    <row r="17" spans="1:16" ht="15">
      <c r="A17" s="72">
        <v>1</v>
      </c>
      <c r="B17" s="73" t="s">
        <v>17</v>
      </c>
      <c r="C17" s="73"/>
      <c r="D17" s="67"/>
      <c r="E17" s="67"/>
      <c r="F17" s="67"/>
      <c r="G17" s="67"/>
      <c r="H17" s="67"/>
      <c r="I17" s="67"/>
      <c r="J17" s="67"/>
      <c r="K17" s="67"/>
      <c r="L17" s="86"/>
      <c r="M17" s="86"/>
      <c r="N17" s="86"/>
      <c r="O17" s="86"/>
      <c r="P17" s="86"/>
    </row>
    <row r="18" spans="1:16" ht="15">
      <c r="A18" s="72"/>
      <c r="B18" s="70" t="s">
        <v>18</v>
      </c>
      <c r="C18" s="70"/>
      <c r="D18" s="39"/>
      <c r="E18" s="39"/>
      <c r="F18" s="39"/>
      <c r="G18" s="39"/>
      <c r="H18" s="39"/>
      <c r="I18" s="39"/>
      <c r="J18" s="39"/>
      <c r="K18" s="39"/>
      <c r="L18" s="86"/>
      <c r="M18" s="86"/>
      <c r="N18" s="86"/>
      <c r="O18" s="86"/>
      <c r="P18" s="86"/>
    </row>
    <row r="19" spans="1:16" ht="15">
      <c r="A19" s="72">
        <v>2</v>
      </c>
      <c r="B19" s="73" t="s">
        <v>19</v>
      </c>
      <c r="C19" s="73"/>
      <c r="D19" s="67"/>
      <c r="E19" s="67"/>
      <c r="F19" s="67"/>
      <c r="G19" s="67"/>
      <c r="H19" s="67"/>
      <c r="I19" s="67"/>
      <c r="J19" s="67"/>
      <c r="K19" s="67"/>
      <c r="L19" s="86"/>
      <c r="M19" s="86"/>
      <c r="N19" s="86"/>
      <c r="O19" s="86"/>
      <c r="P19" s="86"/>
    </row>
    <row r="20" spans="1:16" ht="15">
      <c r="A20" s="72"/>
      <c r="B20" s="70" t="s">
        <v>18</v>
      </c>
      <c r="C20" s="70"/>
      <c r="D20" s="39"/>
      <c r="E20" s="39"/>
      <c r="F20" s="39"/>
      <c r="G20" s="39"/>
      <c r="H20" s="39"/>
      <c r="I20" s="39"/>
      <c r="J20" s="39"/>
      <c r="K20" s="39"/>
      <c r="L20" s="86"/>
      <c r="M20" s="86"/>
      <c r="N20" s="86"/>
      <c r="O20" s="86"/>
      <c r="P20" s="86"/>
    </row>
    <row r="21" spans="1:16" ht="15">
      <c r="A21" s="72">
        <v>3</v>
      </c>
      <c r="B21" s="73" t="s">
        <v>20</v>
      </c>
      <c r="C21" s="73"/>
      <c r="D21" s="40"/>
      <c r="E21" s="40"/>
      <c r="F21" s="40"/>
      <c r="G21" s="40"/>
      <c r="H21" s="40"/>
      <c r="I21" s="40"/>
      <c r="J21" s="40"/>
      <c r="K21" s="40"/>
      <c r="L21" s="86"/>
      <c r="M21" s="86"/>
      <c r="N21" s="86"/>
      <c r="O21" s="86"/>
      <c r="P21" s="86"/>
    </row>
    <row r="22" spans="1:16" ht="15" customHeight="1">
      <c r="A22" s="72"/>
      <c r="B22" s="74" t="s">
        <v>21</v>
      </c>
      <c r="C22" s="74"/>
      <c r="D22" s="67"/>
      <c r="E22" s="67"/>
      <c r="F22" s="67"/>
      <c r="G22" s="67"/>
      <c r="H22" s="67"/>
      <c r="I22" s="67"/>
      <c r="J22" s="67"/>
      <c r="K22" s="67"/>
      <c r="L22" s="86"/>
      <c r="M22" s="86"/>
      <c r="N22" s="86"/>
      <c r="O22" s="86"/>
      <c r="P22" s="86"/>
    </row>
    <row r="23" spans="1:16" ht="15" customHeight="1">
      <c r="A23" s="72"/>
      <c r="B23" s="74" t="s">
        <v>22</v>
      </c>
      <c r="C23" s="74"/>
      <c r="D23" s="67"/>
      <c r="E23" s="67"/>
      <c r="F23" s="67"/>
      <c r="G23" s="67"/>
      <c r="H23" s="67"/>
      <c r="I23" s="67"/>
      <c r="J23" s="67"/>
      <c r="K23" s="67"/>
      <c r="L23" s="86"/>
      <c r="M23" s="86"/>
      <c r="N23" s="86"/>
      <c r="O23" s="86"/>
      <c r="P23" s="86"/>
    </row>
    <row r="24" spans="1:16" ht="15" customHeight="1">
      <c r="A24" s="72"/>
      <c r="B24" s="74" t="s">
        <v>23</v>
      </c>
      <c r="C24" s="74"/>
      <c r="D24" s="67"/>
      <c r="E24" s="67"/>
      <c r="F24" s="67"/>
      <c r="G24" s="67"/>
      <c r="H24" s="67"/>
      <c r="I24" s="67"/>
      <c r="J24" s="67"/>
      <c r="K24" s="67"/>
      <c r="L24" s="86"/>
      <c r="M24" s="86"/>
      <c r="N24" s="86"/>
      <c r="O24" s="86"/>
      <c r="P24" s="86"/>
    </row>
    <row r="25" spans="1:16" ht="15">
      <c r="A25" s="72"/>
      <c r="B25" s="70" t="s">
        <v>18</v>
      </c>
      <c r="C25" s="70"/>
      <c r="D25" s="39"/>
      <c r="E25" s="39"/>
      <c r="F25" s="39"/>
      <c r="G25" s="39"/>
      <c r="H25" s="39"/>
      <c r="I25" s="39"/>
      <c r="J25" s="39"/>
      <c r="K25" s="39"/>
      <c r="L25" s="86"/>
      <c r="M25" s="86"/>
      <c r="N25" s="86"/>
      <c r="O25" s="86"/>
      <c r="P25" s="86"/>
    </row>
    <row r="26" spans="1:16" ht="15">
      <c r="A26" s="72">
        <v>4</v>
      </c>
      <c r="B26" s="73" t="s">
        <v>24</v>
      </c>
      <c r="C26" s="73"/>
      <c r="D26" s="40"/>
      <c r="E26" s="40"/>
      <c r="F26" s="40"/>
      <c r="G26" s="40"/>
      <c r="H26" s="40"/>
      <c r="I26" s="40"/>
      <c r="J26" s="40"/>
      <c r="K26" s="40"/>
      <c r="L26" s="86"/>
      <c r="M26" s="86"/>
      <c r="N26" s="86"/>
      <c r="O26" s="86"/>
      <c r="P26" s="86"/>
    </row>
    <row r="27" spans="1:16" ht="15" customHeight="1">
      <c r="A27" s="72"/>
      <c r="B27" s="74" t="s">
        <v>25</v>
      </c>
      <c r="C27" s="74"/>
      <c r="D27" s="67"/>
      <c r="E27" s="67"/>
      <c r="F27" s="67"/>
      <c r="G27" s="67"/>
      <c r="H27" s="67"/>
      <c r="I27" s="67"/>
      <c r="J27" s="67"/>
      <c r="K27" s="67"/>
      <c r="L27" s="86"/>
      <c r="M27" s="86"/>
      <c r="N27" s="86"/>
      <c r="O27" s="86"/>
      <c r="P27" s="86"/>
    </row>
    <row r="28" spans="1:16" ht="15" customHeight="1">
      <c r="A28" s="72"/>
      <c r="B28" s="74" t="s">
        <v>26</v>
      </c>
      <c r="C28" s="74"/>
      <c r="D28" s="67"/>
      <c r="E28" s="67"/>
      <c r="F28" s="67"/>
      <c r="G28" s="67"/>
      <c r="H28" s="67"/>
      <c r="I28" s="67"/>
      <c r="J28" s="67"/>
      <c r="K28" s="67"/>
      <c r="L28" s="86"/>
      <c r="M28" s="86"/>
      <c r="N28" s="86"/>
      <c r="O28" s="86"/>
      <c r="P28" s="86"/>
    </row>
    <row r="29" spans="1:16" ht="15">
      <c r="A29" s="72"/>
      <c r="B29" s="70" t="s">
        <v>18</v>
      </c>
      <c r="C29" s="70"/>
      <c r="D29" s="39"/>
      <c r="E29" s="39"/>
      <c r="F29" s="39"/>
      <c r="G29" s="39"/>
      <c r="H29" s="39"/>
      <c r="I29" s="39"/>
      <c r="J29" s="39"/>
      <c r="K29" s="39"/>
      <c r="L29" s="86"/>
      <c r="M29" s="86"/>
      <c r="N29" s="86"/>
      <c r="O29" s="86"/>
      <c r="P29" s="86"/>
    </row>
    <row r="30" spans="1:16" ht="15">
      <c r="A30" s="72">
        <v>5</v>
      </c>
      <c r="B30" s="73" t="s">
        <v>27</v>
      </c>
      <c r="C30" s="73"/>
      <c r="D30" s="67"/>
      <c r="E30" s="67"/>
      <c r="F30" s="67"/>
      <c r="G30" s="67"/>
      <c r="H30" s="67"/>
      <c r="I30" s="67"/>
      <c r="J30" s="67"/>
      <c r="K30" s="67"/>
      <c r="L30" s="86"/>
      <c r="M30" s="86"/>
      <c r="N30" s="86"/>
      <c r="O30" s="86"/>
      <c r="P30" s="86"/>
    </row>
    <row r="31" spans="1:16" ht="15">
      <c r="A31" s="72"/>
      <c r="B31" s="70" t="s">
        <v>18</v>
      </c>
      <c r="C31" s="70"/>
      <c r="D31" s="39"/>
      <c r="E31" s="39"/>
      <c r="F31" s="39"/>
      <c r="G31" s="39"/>
      <c r="H31" s="39"/>
      <c r="I31" s="39"/>
      <c r="J31" s="39"/>
      <c r="K31" s="39"/>
      <c r="L31" s="86"/>
      <c r="M31" s="86"/>
      <c r="N31" s="86"/>
      <c r="O31" s="86"/>
      <c r="P31" s="86"/>
    </row>
    <row r="32" spans="1:16" ht="15">
      <c r="A32" s="72">
        <v>6</v>
      </c>
      <c r="B32" s="73" t="s">
        <v>28</v>
      </c>
      <c r="C32" s="73"/>
      <c r="D32" s="40"/>
      <c r="E32" s="40"/>
      <c r="F32" s="40"/>
      <c r="G32" s="40"/>
      <c r="H32" s="40"/>
      <c r="I32" s="40"/>
      <c r="J32" s="40"/>
      <c r="K32" s="40"/>
      <c r="L32" s="86"/>
      <c r="M32" s="86"/>
      <c r="N32" s="86"/>
      <c r="O32" s="86"/>
      <c r="P32" s="86"/>
    </row>
    <row r="33" spans="1:16" ht="15" customHeight="1">
      <c r="A33" s="72"/>
      <c r="B33" s="74" t="s">
        <v>29</v>
      </c>
      <c r="C33" s="74"/>
      <c r="D33" s="67"/>
      <c r="E33" s="67"/>
      <c r="F33" s="67"/>
      <c r="G33" s="67"/>
      <c r="H33" s="67"/>
      <c r="I33" s="67"/>
      <c r="J33" s="67"/>
      <c r="K33" s="67"/>
      <c r="L33" s="86"/>
      <c r="M33" s="86"/>
      <c r="N33" s="86"/>
      <c r="O33" s="86"/>
      <c r="P33" s="86"/>
    </row>
    <row r="34" spans="1:16" ht="15" customHeight="1">
      <c r="A34" s="72"/>
      <c r="B34" s="74" t="s">
        <v>30</v>
      </c>
      <c r="C34" s="74"/>
      <c r="D34" s="67"/>
      <c r="E34" s="67"/>
      <c r="F34" s="67"/>
      <c r="G34" s="67"/>
      <c r="H34" s="67"/>
      <c r="I34" s="67"/>
      <c r="J34" s="67"/>
      <c r="K34" s="67"/>
      <c r="L34" s="86"/>
      <c r="M34" s="86"/>
      <c r="N34" s="86"/>
      <c r="O34" s="86"/>
      <c r="P34" s="86"/>
    </row>
    <row r="35" spans="1:16" ht="15" customHeight="1">
      <c r="A35" s="72"/>
      <c r="B35" s="74" t="s">
        <v>31</v>
      </c>
      <c r="C35" s="74"/>
      <c r="D35" s="67"/>
      <c r="E35" s="67"/>
      <c r="F35" s="67"/>
      <c r="G35" s="67"/>
      <c r="H35" s="67"/>
      <c r="I35" s="67"/>
      <c r="J35" s="67"/>
      <c r="K35" s="67"/>
      <c r="L35" s="86"/>
      <c r="M35" s="86"/>
      <c r="N35" s="86"/>
      <c r="O35" s="86"/>
      <c r="P35" s="86"/>
    </row>
    <row r="36" spans="1:16" ht="15" customHeight="1">
      <c r="A36" s="72"/>
      <c r="B36" s="74" t="s">
        <v>32</v>
      </c>
      <c r="C36" s="74"/>
      <c r="D36" s="67"/>
      <c r="E36" s="67"/>
      <c r="F36" s="67"/>
      <c r="G36" s="67"/>
      <c r="H36" s="67"/>
      <c r="I36" s="67"/>
      <c r="J36" s="67"/>
      <c r="K36" s="67"/>
      <c r="L36" s="86"/>
      <c r="M36" s="86"/>
      <c r="N36" s="86"/>
      <c r="O36" s="86"/>
      <c r="P36" s="86"/>
    </row>
    <row r="37" spans="1:16" ht="15" customHeight="1">
      <c r="A37" s="72"/>
      <c r="B37" s="74" t="s">
        <v>33</v>
      </c>
      <c r="C37" s="74"/>
      <c r="D37" s="67"/>
      <c r="E37" s="67"/>
      <c r="F37" s="67"/>
      <c r="G37" s="67"/>
      <c r="H37" s="67"/>
      <c r="I37" s="67"/>
      <c r="J37" s="67"/>
      <c r="K37" s="67"/>
      <c r="L37" s="86"/>
      <c r="M37" s="86"/>
      <c r="N37" s="86"/>
      <c r="O37" s="86"/>
      <c r="P37" s="86"/>
    </row>
    <row r="38" spans="1:16" ht="15">
      <c r="A38" s="72"/>
      <c r="B38" s="70" t="s">
        <v>18</v>
      </c>
      <c r="C38" s="70"/>
      <c r="D38" s="39"/>
      <c r="E38" s="39"/>
      <c r="F38" s="39"/>
      <c r="G38" s="39"/>
      <c r="H38" s="39"/>
      <c r="I38" s="39"/>
      <c r="J38" s="39"/>
      <c r="K38" s="39"/>
      <c r="L38" s="86"/>
      <c r="M38" s="86"/>
      <c r="N38" s="86"/>
      <c r="O38" s="86"/>
      <c r="P38" s="86"/>
    </row>
    <row r="39" spans="1:16" ht="15">
      <c r="A39" s="72">
        <v>7</v>
      </c>
      <c r="B39" s="73" t="s">
        <v>34</v>
      </c>
      <c r="C39" s="73"/>
      <c r="D39" s="40"/>
      <c r="E39" s="40"/>
      <c r="F39" s="40"/>
      <c r="G39" s="40"/>
      <c r="H39" s="40"/>
      <c r="I39" s="40"/>
      <c r="J39" s="40"/>
      <c r="K39" s="40"/>
      <c r="L39" s="86"/>
      <c r="M39" s="86"/>
      <c r="N39" s="86"/>
      <c r="O39" s="86"/>
      <c r="P39" s="86"/>
    </row>
    <row r="40" spans="1:16" ht="15" customHeight="1">
      <c r="A40" s="72"/>
      <c r="B40" s="74" t="s">
        <v>35</v>
      </c>
      <c r="C40" s="74"/>
      <c r="D40" s="67"/>
      <c r="E40" s="67"/>
      <c r="F40" s="67"/>
      <c r="G40" s="67"/>
      <c r="H40" s="67"/>
      <c r="I40" s="67"/>
      <c r="J40" s="67"/>
      <c r="K40" s="67"/>
      <c r="L40" s="86"/>
      <c r="M40" s="86"/>
      <c r="N40" s="86"/>
      <c r="O40" s="86"/>
      <c r="P40" s="86"/>
    </row>
    <row r="41" spans="1:16" ht="15" customHeight="1">
      <c r="A41" s="72"/>
      <c r="B41" s="74" t="s">
        <v>36</v>
      </c>
      <c r="C41" s="74"/>
      <c r="D41" s="67"/>
      <c r="E41" s="67"/>
      <c r="F41" s="67"/>
      <c r="G41" s="67"/>
      <c r="H41" s="67"/>
      <c r="I41" s="67"/>
      <c r="J41" s="67"/>
      <c r="K41" s="67"/>
      <c r="L41" s="86"/>
      <c r="M41" s="86"/>
      <c r="N41" s="86"/>
      <c r="O41" s="86"/>
      <c r="P41" s="86"/>
    </row>
    <row r="42" spans="1:16" ht="15" customHeight="1">
      <c r="A42" s="72"/>
      <c r="B42" s="74" t="s">
        <v>37</v>
      </c>
      <c r="C42" s="74"/>
      <c r="D42" s="67"/>
      <c r="E42" s="67"/>
      <c r="F42" s="67"/>
      <c r="G42" s="67"/>
      <c r="H42" s="67"/>
      <c r="I42" s="67"/>
      <c r="J42" s="67"/>
      <c r="K42" s="67"/>
      <c r="L42" s="86"/>
      <c r="M42" s="86"/>
      <c r="N42" s="86"/>
      <c r="O42" s="86"/>
      <c r="P42" s="86"/>
    </row>
    <row r="43" spans="1:16" ht="15" customHeight="1">
      <c r="A43" s="72"/>
      <c r="B43" s="74" t="s">
        <v>38</v>
      </c>
      <c r="C43" s="74"/>
      <c r="D43" s="67"/>
      <c r="E43" s="67"/>
      <c r="F43" s="67"/>
      <c r="G43" s="67"/>
      <c r="H43" s="67"/>
      <c r="I43" s="67"/>
      <c r="J43" s="67"/>
      <c r="K43" s="67"/>
      <c r="L43" s="86"/>
      <c r="M43" s="86"/>
      <c r="N43" s="86"/>
      <c r="O43" s="86"/>
      <c r="P43" s="86"/>
    </row>
    <row r="44" spans="1:16" ht="15" customHeight="1">
      <c r="A44" s="72"/>
      <c r="B44" s="74" t="s">
        <v>39</v>
      </c>
      <c r="C44" s="74"/>
      <c r="D44" s="67"/>
      <c r="E44" s="67"/>
      <c r="F44" s="67"/>
      <c r="G44" s="67"/>
      <c r="H44" s="67"/>
      <c r="I44" s="67"/>
      <c r="J44" s="67"/>
      <c r="K44" s="67"/>
      <c r="L44" s="86"/>
      <c r="M44" s="86"/>
      <c r="N44" s="86"/>
      <c r="O44" s="86"/>
      <c r="P44" s="86"/>
    </row>
    <row r="45" spans="1:16" ht="15" customHeight="1">
      <c r="A45" s="72"/>
      <c r="B45" s="74" t="s">
        <v>40</v>
      </c>
      <c r="C45" s="74"/>
      <c r="D45" s="67"/>
      <c r="E45" s="67"/>
      <c r="F45" s="67"/>
      <c r="G45" s="67"/>
      <c r="H45" s="67"/>
      <c r="I45" s="67"/>
      <c r="J45" s="67"/>
      <c r="K45" s="67"/>
      <c r="L45" s="86"/>
      <c r="M45" s="86"/>
      <c r="N45" s="86"/>
      <c r="O45" s="86"/>
      <c r="P45" s="86"/>
    </row>
    <row r="46" spans="1:16" ht="15" customHeight="1">
      <c r="A46" s="72"/>
      <c r="B46" s="74" t="s">
        <v>41</v>
      </c>
      <c r="C46" s="74"/>
      <c r="D46" s="67"/>
      <c r="E46" s="67"/>
      <c r="F46" s="67"/>
      <c r="G46" s="67"/>
      <c r="H46" s="67"/>
      <c r="I46" s="67"/>
      <c r="J46" s="67"/>
      <c r="K46" s="67"/>
      <c r="L46" s="86"/>
      <c r="M46" s="86"/>
      <c r="N46" s="86"/>
      <c r="O46" s="86"/>
      <c r="P46" s="86"/>
    </row>
    <row r="47" spans="1:16" ht="15" customHeight="1">
      <c r="A47" s="72"/>
      <c r="B47" s="74" t="s">
        <v>42</v>
      </c>
      <c r="C47" s="74"/>
      <c r="D47" s="67"/>
      <c r="E47" s="67"/>
      <c r="F47" s="67"/>
      <c r="G47" s="67"/>
      <c r="H47" s="67"/>
      <c r="I47" s="67"/>
      <c r="J47" s="67"/>
      <c r="K47" s="67"/>
      <c r="L47" s="86"/>
      <c r="M47" s="86"/>
      <c r="N47" s="86"/>
      <c r="O47" s="86"/>
      <c r="P47" s="86"/>
    </row>
    <row r="48" spans="1:16" ht="15" customHeight="1">
      <c r="A48" s="72"/>
      <c r="B48" s="68" t="s">
        <v>43</v>
      </c>
      <c r="C48" s="69"/>
      <c r="D48" s="67"/>
      <c r="E48" s="67"/>
      <c r="F48" s="67"/>
      <c r="G48" s="67"/>
      <c r="H48" s="67"/>
      <c r="I48" s="67"/>
      <c r="J48" s="67"/>
      <c r="K48" s="67"/>
      <c r="L48" s="86"/>
      <c r="M48" s="86"/>
      <c r="N48" s="86"/>
      <c r="O48" s="86"/>
      <c r="P48" s="86"/>
    </row>
    <row r="49" spans="1:16" ht="15">
      <c r="A49" s="72"/>
      <c r="B49" s="70" t="s">
        <v>18</v>
      </c>
      <c r="C49" s="70"/>
      <c r="D49" s="39"/>
      <c r="E49" s="39"/>
      <c r="F49" s="39"/>
      <c r="G49" s="39"/>
      <c r="H49" s="39"/>
      <c r="I49" s="39"/>
      <c r="J49" s="39"/>
      <c r="K49" s="39"/>
      <c r="L49" s="86"/>
      <c r="M49" s="86"/>
      <c r="N49" s="86"/>
      <c r="O49" s="86"/>
      <c r="P49" s="86"/>
    </row>
    <row r="50" spans="1:16">
      <c r="B50"/>
    </row>
    <row r="51" spans="1:16" ht="15">
      <c r="B51" s="71" t="s">
        <v>44</v>
      </c>
      <c r="C51" s="71"/>
      <c r="D51" s="1">
        <f>SUM(D17:D48)</f>
        <v>0</v>
      </c>
      <c r="E51" s="1">
        <f t="shared" ref="E51:K51" si="0">SUM(E17:E48)</f>
        <v>0</v>
      </c>
      <c r="F51" s="1">
        <f t="shared" si="0"/>
        <v>0</v>
      </c>
      <c r="G51" s="1">
        <f t="shared" si="0"/>
        <v>0</v>
      </c>
      <c r="H51" s="1">
        <f t="shared" si="0"/>
        <v>0</v>
      </c>
      <c r="I51" s="1">
        <f t="shared" si="0"/>
        <v>0</v>
      </c>
      <c r="J51" s="1">
        <f t="shared" si="0"/>
        <v>0</v>
      </c>
      <c r="K51" s="1">
        <f t="shared" si="0"/>
        <v>0</v>
      </c>
      <c r="M51" s="17" t="s">
        <v>2</v>
      </c>
      <c r="N51" s="17" t="s">
        <v>3</v>
      </c>
    </row>
    <row r="52" spans="1:16" ht="15">
      <c r="B52"/>
      <c r="C52" s="64"/>
      <c r="D52" s="1">
        <f>COUNT(D17:D49)*5</f>
        <v>0</v>
      </c>
      <c r="E52" s="1">
        <f t="shared" ref="E52:K52" si="1">COUNT(E17:E49)*5</f>
        <v>0</v>
      </c>
      <c r="F52" s="1">
        <f t="shared" si="1"/>
        <v>0</v>
      </c>
      <c r="G52" s="1">
        <f t="shared" si="1"/>
        <v>0</v>
      </c>
      <c r="H52" s="1">
        <f t="shared" si="1"/>
        <v>0</v>
      </c>
      <c r="I52" s="1">
        <f t="shared" si="1"/>
        <v>0</v>
      </c>
      <c r="J52" s="1">
        <f t="shared" si="1"/>
        <v>0</v>
      </c>
      <c r="K52" s="1">
        <f t="shared" si="1"/>
        <v>0</v>
      </c>
      <c r="M52" s="18" t="e">
        <f>(D53+F53+H53+J53)/4</f>
        <v>#DIV/0!</v>
      </c>
      <c r="N52" s="18" t="e">
        <f>(E53+G53+I53+K53)/4</f>
        <v>#DIV/0!</v>
      </c>
    </row>
    <row r="53" spans="1:16" ht="15">
      <c r="B53"/>
      <c r="C53" s="2" t="s">
        <v>45</v>
      </c>
      <c r="D53" s="11" t="e">
        <f>D51/D52</f>
        <v>#DIV/0!</v>
      </c>
      <c r="E53" s="11" t="e">
        <f t="shared" ref="E53:K53" si="2">E51/E52</f>
        <v>#DIV/0!</v>
      </c>
      <c r="F53" s="11" t="e">
        <f t="shared" si="2"/>
        <v>#DIV/0!</v>
      </c>
      <c r="G53" s="11" t="e">
        <f t="shared" si="2"/>
        <v>#DIV/0!</v>
      </c>
      <c r="H53" s="11" t="e">
        <f t="shared" si="2"/>
        <v>#DIV/0!</v>
      </c>
      <c r="I53" s="11" t="e">
        <f t="shared" si="2"/>
        <v>#DIV/0!</v>
      </c>
      <c r="J53" s="11" t="e">
        <f t="shared" si="2"/>
        <v>#DIV/0!</v>
      </c>
      <c r="K53" s="11" t="e">
        <f t="shared" si="2"/>
        <v>#DIV/0!</v>
      </c>
      <c r="L53" s="4"/>
      <c r="M53" s="4"/>
      <c r="N53" s="4"/>
      <c r="O53" s="4"/>
      <c r="P53" s="4"/>
    </row>
    <row r="54" spans="1:16" s="22" customFormat="1"/>
    <row r="55" spans="1:16" ht="18">
      <c r="B55" s="16" t="s">
        <v>46</v>
      </c>
      <c r="C55" s="23" t="s">
        <v>6</v>
      </c>
      <c r="D55" s="75" t="s">
        <v>7</v>
      </c>
      <c r="E55" s="76"/>
      <c r="F55" s="75" t="s">
        <v>8</v>
      </c>
      <c r="G55" s="76"/>
      <c r="H55" s="75" t="s">
        <v>9</v>
      </c>
      <c r="I55" s="76"/>
      <c r="J55" s="75" t="s">
        <v>10</v>
      </c>
      <c r="K55" s="76"/>
    </row>
    <row r="56" spans="1:16" s="1" customFormat="1" ht="15">
      <c r="A56" s="77" t="s">
        <v>11</v>
      </c>
      <c r="B56" s="77" t="s">
        <v>12</v>
      </c>
      <c r="C56" s="6" t="s">
        <v>13</v>
      </c>
      <c r="D56" s="29"/>
      <c r="E56" s="29"/>
      <c r="F56" s="29"/>
      <c r="G56" s="29"/>
      <c r="H56" s="29"/>
      <c r="I56" s="29"/>
      <c r="J56" s="29"/>
      <c r="K56" s="29"/>
      <c r="L56" s="80" t="s">
        <v>14</v>
      </c>
      <c r="M56" s="81"/>
      <c r="N56" s="81"/>
      <c r="O56" s="81"/>
      <c r="P56" s="81"/>
    </row>
    <row r="57" spans="1:16" s="1" customFormat="1" ht="15">
      <c r="A57" s="78"/>
      <c r="B57" s="78"/>
      <c r="C57" s="6"/>
      <c r="D57" s="7" t="s">
        <v>2</v>
      </c>
      <c r="E57" s="7" t="s">
        <v>15</v>
      </c>
      <c r="F57" s="7" t="s">
        <v>2</v>
      </c>
      <c r="G57" s="7" t="s">
        <v>15</v>
      </c>
      <c r="H57" s="7" t="s">
        <v>2</v>
      </c>
      <c r="I57" s="7" t="s">
        <v>15</v>
      </c>
      <c r="J57" s="7" t="s">
        <v>2</v>
      </c>
      <c r="K57" s="7" t="s">
        <v>15</v>
      </c>
      <c r="L57" s="80"/>
      <c r="M57" s="81"/>
      <c r="N57" s="81"/>
      <c r="O57" s="81"/>
      <c r="P57" s="81"/>
    </row>
    <row r="58" spans="1:16" s="1" customFormat="1" ht="15">
      <c r="A58" s="79"/>
      <c r="B58" s="79"/>
      <c r="C58" s="6" t="s">
        <v>16</v>
      </c>
      <c r="D58" s="6"/>
      <c r="E58" s="6"/>
      <c r="F58" s="6"/>
      <c r="G58" s="6"/>
      <c r="H58" s="6"/>
      <c r="I58" s="6"/>
      <c r="J58" s="6"/>
      <c r="K58" s="6"/>
      <c r="L58" s="80"/>
      <c r="M58" s="81"/>
      <c r="N58" s="81"/>
      <c r="O58" s="81"/>
      <c r="P58" s="81"/>
    </row>
    <row r="59" spans="1:16" ht="15">
      <c r="A59" s="82">
        <v>1</v>
      </c>
      <c r="B59" s="84" t="s">
        <v>17</v>
      </c>
      <c r="C59" s="85"/>
      <c r="D59" s="8"/>
      <c r="E59" s="8"/>
      <c r="F59" s="8"/>
      <c r="G59" s="8"/>
      <c r="H59" s="8"/>
      <c r="I59" s="8"/>
      <c r="J59" s="8"/>
      <c r="K59" s="8"/>
      <c r="L59" s="86"/>
      <c r="M59" s="86"/>
      <c r="N59" s="86"/>
      <c r="O59" s="86"/>
      <c r="P59" s="86"/>
    </row>
    <row r="60" spans="1:16" ht="15">
      <c r="A60" s="83"/>
      <c r="B60" s="87" t="s">
        <v>18</v>
      </c>
      <c r="C60" s="88"/>
      <c r="D60" s="24"/>
      <c r="E60" s="9"/>
      <c r="F60" s="9"/>
      <c r="G60" s="9"/>
      <c r="H60" s="9"/>
      <c r="I60" s="9"/>
      <c r="J60" s="9"/>
      <c r="K60" s="9"/>
      <c r="L60" s="86"/>
      <c r="M60" s="86"/>
      <c r="N60" s="86"/>
      <c r="O60" s="86"/>
      <c r="P60" s="86"/>
    </row>
    <row r="61" spans="1:16" ht="15">
      <c r="A61" s="72">
        <v>2</v>
      </c>
      <c r="B61" s="73" t="s">
        <v>19</v>
      </c>
      <c r="C61" s="73"/>
      <c r="D61" s="8"/>
      <c r="E61" s="8"/>
      <c r="F61" s="8"/>
      <c r="G61" s="8"/>
      <c r="H61" s="8"/>
      <c r="I61" s="8"/>
      <c r="J61" s="8"/>
      <c r="K61" s="8"/>
      <c r="L61" s="86"/>
      <c r="M61" s="86"/>
      <c r="N61" s="86"/>
      <c r="O61" s="86"/>
      <c r="P61" s="86"/>
    </row>
    <row r="62" spans="1:16" ht="15">
      <c r="A62" s="72"/>
      <c r="B62" s="70" t="s">
        <v>18</v>
      </c>
      <c r="C62" s="70"/>
      <c r="D62" s="9"/>
      <c r="E62" s="9"/>
      <c r="F62" s="9"/>
      <c r="G62" s="9"/>
      <c r="H62" s="9"/>
      <c r="I62" s="9"/>
      <c r="J62" s="9"/>
      <c r="K62" s="9"/>
      <c r="L62" s="86"/>
      <c r="M62" s="86"/>
      <c r="N62" s="86"/>
      <c r="O62" s="86"/>
      <c r="P62" s="86"/>
    </row>
    <row r="63" spans="1:16" ht="15">
      <c r="A63" s="72">
        <v>3</v>
      </c>
      <c r="B63" s="73" t="s">
        <v>20</v>
      </c>
      <c r="C63" s="73"/>
      <c r="D63" s="10"/>
      <c r="E63" s="10"/>
      <c r="F63" s="10"/>
      <c r="G63" s="10"/>
      <c r="H63" s="10"/>
      <c r="I63" s="10"/>
      <c r="J63" s="10"/>
      <c r="K63" s="10"/>
      <c r="L63" s="86"/>
      <c r="M63" s="86"/>
      <c r="N63" s="86"/>
      <c r="O63" s="86"/>
      <c r="P63" s="86"/>
    </row>
    <row r="64" spans="1:16" ht="15" customHeight="1">
      <c r="A64" s="72"/>
      <c r="B64" s="74" t="s">
        <v>21</v>
      </c>
      <c r="C64" s="74"/>
      <c r="D64" s="8"/>
      <c r="E64" s="8"/>
      <c r="F64" s="8"/>
      <c r="G64" s="8"/>
      <c r="H64" s="8"/>
      <c r="I64" s="8"/>
      <c r="J64" s="8"/>
      <c r="K64" s="8"/>
      <c r="L64" s="86"/>
      <c r="M64" s="86"/>
      <c r="N64" s="86"/>
      <c r="O64" s="86"/>
      <c r="P64" s="86"/>
    </row>
    <row r="65" spans="1:16" ht="15" customHeight="1">
      <c r="A65" s="72"/>
      <c r="B65" s="74" t="s">
        <v>22</v>
      </c>
      <c r="C65" s="74"/>
      <c r="D65" s="8"/>
      <c r="E65" s="8"/>
      <c r="F65" s="8"/>
      <c r="G65" s="8"/>
      <c r="H65" s="8"/>
      <c r="I65" s="8"/>
      <c r="J65" s="8"/>
      <c r="K65" s="8"/>
      <c r="L65" s="86"/>
      <c r="M65" s="86"/>
      <c r="N65" s="86"/>
      <c r="O65" s="86"/>
      <c r="P65" s="86"/>
    </row>
    <row r="66" spans="1:16" ht="15" customHeight="1">
      <c r="A66" s="72"/>
      <c r="B66" s="74" t="s">
        <v>23</v>
      </c>
      <c r="C66" s="74"/>
      <c r="D66" s="8"/>
      <c r="E66" s="8"/>
      <c r="F66" s="8"/>
      <c r="G66" s="8"/>
      <c r="H66" s="8"/>
      <c r="I66" s="8"/>
      <c r="J66" s="8"/>
      <c r="K66" s="8"/>
      <c r="L66" s="86"/>
      <c r="M66" s="86"/>
      <c r="N66" s="86"/>
      <c r="O66" s="86"/>
      <c r="P66" s="86"/>
    </row>
    <row r="67" spans="1:16" ht="15">
      <c r="A67" s="72"/>
      <c r="B67" s="70" t="s">
        <v>18</v>
      </c>
      <c r="C67" s="70"/>
      <c r="D67" s="9"/>
      <c r="E67" s="9"/>
      <c r="F67" s="9"/>
      <c r="G67" s="9"/>
      <c r="H67" s="9"/>
      <c r="I67" s="9"/>
      <c r="J67" s="9"/>
      <c r="K67" s="9"/>
      <c r="L67" s="86"/>
      <c r="M67" s="86"/>
      <c r="N67" s="86"/>
      <c r="O67" s="86"/>
      <c r="P67" s="86"/>
    </row>
    <row r="68" spans="1:16" ht="15">
      <c r="A68" s="72">
        <v>4</v>
      </c>
      <c r="B68" s="73" t="s">
        <v>24</v>
      </c>
      <c r="C68" s="73"/>
      <c r="D68" s="10"/>
      <c r="E68" s="10"/>
      <c r="F68" s="10"/>
      <c r="G68" s="10"/>
      <c r="H68" s="10"/>
      <c r="I68" s="10"/>
      <c r="J68" s="10"/>
      <c r="K68" s="10"/>
      <c r="L68" s="86"/>
      <c r="M68" s="86"/>
      <c r="N68" s="86"/>
      <c r="O68" s="86"/>
      <c r="P68" s="86"/>
    </row>
    <row r="69" spans="1:16" ht="15" customHeight="1">
      <c r="A69" s="72"/>
      <c r="B69" s="74" t="s">
        <v>25</v>
      </c>
      <c r="C69" s="74"/>
      <c r="D69" s="8"/>
      <c r="E69" s="8"/>
      <c r="F69" s="8"/>
      <c r="G69" s="8"/>
      <c r="H69" s="8"/>
      <c r="I69" s="8"/>
      <c r="J69" s="8"/>
      <c r="K69" s="8"/>
      <c r="L69" s="86"/>
      <c r="M69" s="86"/>
      <c r="N69" s="86"/>
      <c r="O69" s="86"/>
      <c r="P69" s="86"/>
    </row>
    <row r="70" spans="1:16" ht="15" customHeight="1">
      <c r="A70" s="72"/>
      <c r="B70" s="74" t="s">
        <v>26</v>
      </c>
      <c r="C70" s="74"/>
      <c r="D70" s="8"/>
      <c r="E70" s="8"/>
      <c r="F70" s="8"/>
      <c r="G70" s="8"/>
      <c r="H70" s="8"/>
      <c r="I70" s="8"/>
      <c r="J70" s="8"/>
      <c r="K70" s="8"/>
      <c r="L70" s="86"/>
      <c r="M70" s="86"/>
      <c r="N70" s="86"/>
      <c r="O70" s="86"/>
      <c r="P70" s="86"/>
    </row>
    <row r="71" spans="1:16" ht="15">
      <c r="A71" s="72"/>
      <c r="B71" s="70" t="s">
        <v>18</v>
      </c>
      <c r="C71" s="70"/>
      <c r="D71" s="9"/>
      <c r="E71" s="9"/>
      <c r="F71" s="9"/>
      <c r="G71" s="9"/>
      <c r="H71" s="9"/>
      <c r="I71" s="9"/>
      <c r="J71" s="9"/>
      <c r="K71" s="9"/>
      <c r="L71" s="86"/>
      <c r="M71" s="86"/>
      <c r="N71" s="86"/>
      <c r="O71" s="86"/>
      <c r="P71" s="86"/>
    </row>
    <row r="72" spans="1:16" ht="15">
      <c r="A72" s="72">
        <v>5</v>
      </c>
      <c r="B72" s="73" t="s">
        <v>27</v>
      </c>
      <c r="C72" s="73"/>
      <c r="D72" s="8"/>
      <c r="E72" s="8"/>
      <c r="F72" s="8"/>
      <c r="G72" s="8"/>
      <c r="H72" s="8"/>
      <c r="I72" s="8"/>
      <c r="J72" s="8"/>
      <c r="K72" s="8"/>
      <c r="L72" s="86"/>
      <c r="M72" s="86"/>
      <c r="N72" s="86"/>
      <c r="O72" s="86"/>
      <c r="P72" s="86"/>
    </row>
    <row r="73" spans="1:16" ht="15">
      <c r="A73" s="72"/>
      <c r="B73" s="70" t="s">
        <v>18</v>
      </c>
      <c r="C73" s="70"/>
      <c r="D73" s="9"/>
      <c r="E73" s="9"/>
      <c r="F73" s="9"/>
      <c r="G73" s="9"/>
      <c r="H73" s="9"/>
      <c r="I73" s="9"/>
      <c r="J73" s="9"/>
      <c r="K73" s="9"/>
      <c r="L73" s="86"/>
      <c r="M73" s="86"/>
      <c r="N73" s="86"/>
      <c r="O73" s="86"/>
      <c r="P73" s="86"/>
    </row>
    <row r="74" spans="1:16" ht="15">
      <c r="A74" s="72">
        <v>6</v>
      </c>
      <c r="B74" s="73" t="s">
        <v>28</v>
      </c>
      <c r="C74" s="73"/>
      <c r="D74" s="10"/>
      <c r="E74" s="10"/>
      <c r="F74" s="10"/>
      <c r="G74" s="10"/>
      <c r="H74" s="10"/>
      <c r="I74" s="10"/>
      <c r="J74" s="10"/>
      <c r="K74" s="10"/>
      <c r="L74" s="86"/>
      <c r="M74" s="86"/>
      <c r="N74" s="86"/>
      <c r="O74" s="86"/>
      <c r="P74" s="86"/>
    </row>
    <row r="75" spans="1:16" ht="15" customHeight="1">
      <c r="A75" s="72"/>
      <c r="B75" s="74" t="s">
        <v>29</v>
      </c>
      <c r="C75" s="74"/>
      <c r="D75" s="8"/>
      <c r="E75" s="8"/>
      <c r="F75" s="8"/>
      <c r="G75" s="8"/>
      <c r="H75" s="8"/>
      <c r="I75" s="8"/>
      <c r="J75" s="8"/>
      <c r="K75" s="8"/>
      <c r="L75" s="86"/>
      <c r="M75" s="86"/>
      <c r="N75" s="86"/>
      <c r="O75" s="86"/>
      <c r="P75" s="86"/>
    </row>
    <row r="76" spans="1:16" ht="15" customHeight="1">
      <c r="A76" s="72"/>
      <c r="B76" s="74" t="s">
        <v>30</v>
      </c>
      <c r="C76" s="74"/>
      <c r="D76" s="8"/>
      <c r="E76" s="8"/>
      <c r="F76" s="8"/>
      <c r="G76" s="8"/>
      <c r="H76" s="8"/>
      <c r="I76" s="8"/>
      <c r="J76" s="8"/>
      <c r="K76" s="8"/>
      <c r="L76" s="86"/>
      <c r="M76" s="86"/>
      <c r="N76" s="86"/>
      <c r="O76" s="86"/>
      <c r="P76" s="86"/>
    </row>
    <row r="77" spans="1:16" ht="15" customHeight="1">
      <c r="A77" s="72"/>
      <c r="B77" s="74" t="s">
        <v>31</v>
      </c>
      <c r="C77" s="74"/>
      <c r="D77" s="8"/>
      <c r="E77" s="8"/>
      <c r="F77" s="8"/>
      <c r="G77" s="8"/>
      <c r="H77" s="8"/>
      <c r="I77" s="8"/>
      <c r="J77" s="8"/>
      <c r="K77" s="8"/>
      <c r="L77" s="86"/>
      <c r="M77" s="86"/>
      <c r="N77" s="86"/>
      <c r="O77" s="86"/>
      <c r="P77" s="86"/>
    </row>
    <row r="78" spans="1:16" ht="15" customHeight="1">
      <c r="A78" s="72"/>
      <c r="B78" s="74" t="s">
        <v>32</v>
      </c>
      <c r="C78" s="74"/>
      <c r="D78" s="8"/>
      <c r="E78" s="8"/>
      <c r="F78" s="8"/>
      <c r="G78" s="8"/>
      <c r="H78" s="8"/>
      <c r="I78" s="8"/>
      <c r="J78" s="8"/>
      <c r="K78" s="8"/>
      <c r="L78" s="86"/>
      <c r="M78" s="86"/>
      <c r="N78" s="86"/>
      <c r="O78" s="86"/>
      <c r="P78" s="86"/>
    </row>
    <row r="79" spans="1:16" ht="15" customHeight="1">
      <c r="A79" s="72"/>
      <c r="B79" s="74" t="s">
        <v>33</v>
      </c>
      <c r="C79" s="74"/>
      <c r="D79" s="8"/>
      <c r="E79" s="8"/>
      <c r="F79" s="8"/>
      <c r="G79" s="8"/>
      <c r="H79" s="8"/>
      <c r="I79" s="8"/>
      <c r="J79" s="8"/>
      <c r="K79" s="8"/>
      <c r="L79" s="86"/>
      <c r="M79" s="86"/>
      <c r="N79" s="86"/>
      <c r="O79" s="86"/>
      <c r="P79" s="86"/>
    </row>
    <row r="80" spans="1:16" ht="15">
      <c r="A80" s="72"/>
      <c r="B80" s="70" t="s">
        <v>18</v>
      </c>
      <c r="C80" s="70"/>
      <c r="D80" s="9"/>
      <c r="E80" s="9"/>
      <c r="F80" s="9"/>
      <c r="G80" s="9"/>
      <c r="H80" s="9"/>
      <c r="I80" s="9"/>
      <c r="J80" s="9"/>
      <c r="K80" s="9"/>
      <c r="L80" s="86"/>
      <c r="M80" s="86"/>
      <c r="N80" s="86"/>
      <c r="O80" s="86"/>
      <c r="P80" s="86"/>
    </row>
    <row r="81" spans="1:16" ht="15">
      <c r="A81" s="72">
        <v>7</v>
      </c>
      <c r="B81" s="73" t="s">
        <v>34</v>
      </c>
      <c r="C81" s="73"/>
      <c r="D81" s="10"/>
      <c r="E81" s="10"/>
      <c r="F81" s="10"/>
      <c r="G81" s="10"/>
      <c r="H81" s="10"/>
      <c r="I81" s="10"/>
      <c r="J81" s="10"/>
      <c r="K81" s="10"/>
      <c r="L81" s="86"/>
      <c r="M81" s="86"/>
      <c r="N81" s="86"/>
      <c r="O81" s="86"/>
      <c r="P81" s="86"/>
    </row>
    <row r="82" spans="1:16" ht="15" customHeight="1">
      <c r="A82" s="72"/>
      <c r="B82" s="74" t="s">
        <v>35</v>
      </c>
      <c r="C82" s="74"/>
      <c r="D82" s="8"/>
      <c r="E82" s="8"/>
      <c r="F82" s="8"/>
      <c r="G82" s="8"/>
      <c r="H82" s="8"/>
      <c r="I82" s="8"/>
      <c r="J82" s="8"/>
      <c r="K82" s="8"/>
      <c r="L82" s="86"/>
      <c r="M82" s="86"/>
      <c r="N82" s="86"/>
      <c r="O82" s="86"/>
      <c r="P82" s="86"/>
    </row>
    <row r="83" spans="1:16" ht="15" customHeight="1">
      <c r="A83" s="72"/>
      <c r="B83" s="74" t="s">
        <v>36</v>
      </c>
      <c r="C83" s="74"/>
      <c r="D83" s="8"/>
      <c r="E83" s="8"/>
      <c r="F83" s="8"/>
      <c r="G83" s="8"/>
      <c r="H83" s="8"/>
      <c r="I83" s="8"/>
      <c r="J83" s="8"/>
      <c r="K83" s="8"/>
      <c r="L83" s="86"/>
      <c r="M83" s="86"/>
      <c r="N83" s="86"/>
      <c r="O83" s="86"/>
      <c r="P83" s="86"/>
    </row>
    <row r="84" spans="1:16" ht="15" customHeight="1">
      <c r="A84" s="72"/>
      <c r="B84" s="74" t="s">
        <v>37</v>
      </c>
      <c r="C84" s="74"/>
      <c r="D84" s="8"/>
      <c r="E84" s="8"/>
      <c r="F84" s="8"/>
      <c r="G84" s="8"/>
      <c r="H84" s="8"/>
      <c r="I84" s="8"/>
      <c r="J84" s="8"/>
      <c r="K84" s="8"/>
      <c r="L84" s="86"/>
      <c r="M84" s="86"/>
      <c r="N84" s="86"/>
      <c r="O84" s="86"/>
      <c r="P84" s="86"/>
    </row>
    <row r="85" spans="1:16" ht="15" customHeight="1">
      <c r="A85" s="72"/>
      <c r="B85" s="74" t="s">
        <v>38</v>
      </c>
      <c r="C85" s="74"/>
      <c r="D85" s="8"/>
      <c r="E85" s="8"/>
      <c r="F85" s="8"/>
      <c r="G85" s="8"/>
      <c r="H85" s="8"/>
      <c r="I85" s="8"/>
      <c r="J85" s="8"/>
      <c r="K85" s="8"/>
      <c r="L85" s="86"/>
      <c r="M85" s="86"/>
      <c r="N85" s="86"/>
      <c r="O85" s="86"/>
      <c r="P85" s="86"/>
    </row>
    <row r="86" spans="1:16" ht="15" customHeight="1">
      <c r="A86" s="72"/>
      <c r="B86" s="74" t="s">
        <v>39</v>
      </c>
      <c r="C86" s="74"/>
      <c r="D86" s="8"/>
      <c r="E86" s="8"/>
      <c r="F86" s="8"/>
      <c r="G86" s="8"/>
      <c r="H86" s="8"/>
      <c r="I86" s="8"/>
      <c r="J86" s="8"/>
      <c r="K86" s="8"/>
      <c r="L86" s="86"/>
      <c r="M86" s="86"/>
      <c r="N86" s="86"/>
      <c r="O86" s="86"/>
      <c r="P86" s="86"/>
    </row>
    <row r="87" spans="1:16" ht="15" customHeight="1">
      <c r="A87" s="72"/>
      <c r="B87" s="74" t="s">
        <v>40</v>
      </c>
      <c r="C87" s="74"/>
      <c r="D87" s="8"/>
      <c r="E87" s="8"/>
      <c r="F87" s="8"/>
      <c r="G87" s="8"/>
      <c r="H87" s="8"/>
      <c r="I87" s="8"/>
      <c r="J87" s="8"/>
      <c r="K87" s="8"/>
      <c r="L87" s="86"/>
      <c r="M87" s="86"/>
      <c r="N87" s="86"/>
      <c r="O87" s="86"/>
      <c r="P87" s="86"/>
    </row>
    <row r="88" spans="1:16" ht="15" customHeight="1">
      <c r="A88" s="72"/>
      <c r="B88" s="74" t="s">
        <v>41</v>
      </c>
      <c r="C88" s="74"/>
      <c r="D88" s="8"/>
      <c r="E88" s="8"/>
      <c r="F88" s="8"/>
      <c r="G88" s="8"/>
      <c r="H88" s="8"/>
      <c r="I88" s="8"/>
      <c r="J88" s="8"/>
      <c r="K88" s="8"/>
      <c r="L88" s="86"/>
      <c r="M88" s="86"/>
      <c r="N88" s="86"/>
      <c r="O88" s="86"/>
      <c r="P88" s="86"/>
    </row>
    <row r="89" spans="1:16" ht="15" customHeight="1">
      <c r="A89" s="72"/>
      <c r="B89" s="74" t="s">
        <v>42</v>
      </c>
      <c r="C89" s="74"/>
      <c r="D89" s="8"/>
      <c r="E89" s="8"/>
      <c r="F89" s="8"/>
      <c r="G89" s="8"/>
      <c r="H89" s="8"/>
      <c r="I89" s="8"/>
      <c r="J89" s="8"/>
      <c r="K89" s="8"/>
      <c r="L89" s="86"/>
      <c r="M89" s="86"/>
      <c r="N89" s="86"/>
      <c r="O89" s="86"/>
      <c r="P89" s="86"/>
    </row>
    <row r="90" spans="1:16" ht="15" customHeight="1">
      <c r="A90" s="72"/>
      <c r="B90" s="68" t="s">
        <v>43</v>
      </c>
      <c r="C90" s="69"/>
      <c r="D90" s="8"/>
      <c r="E90" s="8"/>
      <c r="F90" s="8"/>
      <c r="G90" s="8"/>
      <c r="H90" s="8"/>
      <c r="I90" s="8"/>
      <c r="J90" s="8"/>
      <c r="K90" s="8"/>
      <c r="L90" s="86"/>
      <c r="M90" s="86"/>
      <c r="N90" s="86"/>
      <c r="O90" s="86"/>
      <c r="P90" s="86"/>
    </row>
    <row r="91" spans="1:16" ht="15">
      <c r="A91" s="72"/>
      <c r="B91" s="70" t="s">
        <v>18</v>
      </c>
      <c r="C91" s="70"/>
      <c r="D91" s="9"/>
      <c r="E91" s="9"/>
      <c r="F91" s="9"/>
      <c r="G91" s="9"/>
      <c r="H91" s="9"/>
      <c r="I91" s="9"/>
      <c r="J91" s="9"/>
      <c r="K91" s="9"/>
      <c r="L91" s="86"/>
      <c r="M91" s="86"/>
      <c r="N91" s="86"/>
      <c r="O91" s="86"/>
      <c r="P91" s="86"/>
    </row>
    <row r="92" spans="1:16">
      <c r="B92"/>
    </row>
    <row r="93" spans="1:16" ht="15">
      <c r="B93" s="71" t="s">
        <v>44</v>
      </c>
      <c r="C93" s="71"/>
      <c r="D93" s="1">
        <f>SUM(D59:D90)</f>
        <v>0</v>
      </c>
      <c r="E93" s="1">
        <f t="shared" ref="E93:K93" si="3">SUM(E59:E90)</f>
        <v>0</v>
      </c>
      <c r="F93" s="1">
        <f t="shared" si="3"/>
        <v>0</v>
      </c>
      <c r="G93" s="1">
        <f t="shared" si="3"/>
        <v>0</v>
      </c>
      <c r="H93" s="1">
        <f t="shared" si="3"/>
        <v>0</v>
      </c>
      <c r="I93" s="1">
        <f t="shared" si="3"/>
        <v>0</v>
      </c>
      <c r="J93" s="1">
        <f t="shared" si="3"/>
        <v>0</v>
      </c>
      <c r="K93" s="1">
        <f t="shared" si="3"/>
        <v>0</v>
      </c>
      <c r="M93" s="17" t="s">
        <v>2</v>
      </c>
      <c r="N93" s="17" t="s">
        <v>3</v>
      </c>
    </row>
    <row r="94" spans="1:16" ht="15">
      <c r="B94"/>
      <c r="C94" s="64"/>
      <c r="D94" s="1">
        <f>COUNT(D59:D91)*5</f>
        <v>0</v>
      </c>
      <c r="E94" s="1">
        <f t="shared" ref="E94:K94" si="4">COUNT(E59:E91)*5</f>
        <v>0</v>
      </c>
      <c r="F94" s="1">
        <f t="shared" si="4"/>
        <v>0</v>
      </c>
      <c r="G94" s="1">
        <f t="shared" si="4"/>
        <v>0</v>
      </c>
      <c r="H94" s="1">
        <f t="shared" si="4"/>
        <v>0</v>
      </c>
      <c r="I94" s="1">
        <f t="shared" si="4"/>
        <v>0</v>
      </c>
      <c r="J94" s="1">
        <f t="shared" si="4"/>
        <v>0</v>
      </c>
      <c r="K94" s="1">
        <f t="shared" si="4"/>
        <v>0</v>
      </c>
      <c r="M94" s="18" t="e">
        <f>(D95+F95+H95+J95)/4</f>
        <v>#DIV/0!</v>
      </c>
      <c r="N94" s="18" t="e">
        <f>(E95+G95+I95+K95)/4</f>
        <v>#DIV/0!</v>
      </c>
    </row>
    <row r="95" spans="1:16" ht="15">
      <c r="B95"/>
      <c r="C95" s="2" t="s">
        <v>45</v>
      </c>
      <c r="D95" s="11" t="e">
        <f>D93/D94</f>
        <v>#DIV/0!</v>
      </c>
      <c r="E95" s="11" t="e">
        <f t="shared" ref="E95:K95" si="5">E93/E94</f>
        <v>#DIV/0!</v>
      </c>
      <c r="F95" s="11" t="e">
        <f t="shared" si="5"/>
        <v>#DIV/0!</v>
      </c>
      <c r="G95" s="11" t="e">
        <f t="shared" si="5"/>
        <v>#DIV/0!</v>
      </c>
      <c r="H95" s="11" t="e">
        <f t="shared" si="5"/>
        <v>#DIV/0!</v>
      </c>
      <c r="I95" s="11" t="e">
        <f t="shared" si="5"/>
        <v>#DIV/0!</v>
      </c>
      <c r="J95" s="11" t="e">
        <f t="shared" si="5"/>
        <v>#DIV/0!</v>
      </c>
      <c r="K95" s="11" t="e">
        <f t="shared" si="5"/>
        <v>#DIV/0!</v>
      </c>
      <c r="L95" s="4"/>
      <c r="M95" s="4"/>
      <c r="N95" s="4"/>
      <c r="O95" s="4"/>
      <c r="P95" s="4"/>
    </row>
    <row r="96" spans="1:16" s="22" customFormat="1"/>
    <row r="97" spans="1:16" ht="18">
      <c r="B97" s="16" t="s">
        <v>47</v>
      </c>
      <c r="C97" s="23" t="s">
        <v>6</v>
      </c>
      <c r="D97" s="75" t="s">
        <v>7</v>
      </c>
      <c r="E97" s="76"/>
      <c r="F97" s="75" t="s">
        <v>8</v>
      </c>
      <c r="G97" s="76"/>
      <c r="H97" s="75" t="s">
        <v>9</v>
      </c>
      <c r="I97" s="76"/>
      <c r="J97" s="75" t="s">
        <v>10</v>
      </c>
      <c r="K97" s="76"/>
    </row>
    <row r="98" spans="1:16" s="1" customFormat="1" ht="15">
      <c r="A98" s="77" t="s">
        <v>11</v>
      </c>
      <c r="B98" s="77" t="s">
        <v>12</v>
      </c>
      <c r="C98" s="6" t="s">
        <v>13</v>
      </c>
      <c r="D98" s="41"/>
      <c r="E98" s="29"/>
      <c r="F98" s="42"/>
      <c r="G98" s="42"/>
      <c r="H98" s="42"/>
      <c r="I98" s="42"/>
      <c r="J98" s="42"/>
      <c r="K98" s="42"/>
      <c r="L98" s="80" t="s">
        <v>14</v>
      </c>
      <c r="M98" s="81"/>
      <c r="N98" s="81"/>
      <c r="O98" s="81"/>
      <c r="P98" s="81"/>
    </row>
    <row r="99" spans="1:16" s="1" customFormat="1" ht="15">
      <c r="A99" s="78"/>
      <c r="B99" s="78"/>
      <c r="C99" s="6"/>
      <c r="D99" s="7" t="s">
        <v>2</v>
      </c>
      <c r="E99" s="7" t="s">
        <v>15</v>
      </c>
      <c r="F99" s="38" t="s">
        <v>2</v>
      </c>
      <c r="G99" s="38" t="s">
        <v>15</v>
      </c>
      <c r="H99" s="38" t="s">
        <v>2</v>
      </c>
      <c r="I99" s="38" t="s">
        <v>15</v>
      </c>
      <c r="J99" s="38" t="s">
        <v>2</v>
      </c>
      <c r="K99" s="38" t="s">
        <v>15</v>
      </c>
      <c r="L99" s="80"/>
      <c r="M99" s="81"/>
      <c r="N99" s="81"/>
      <c r="O99" s="81"/>
      <c r="P99" s="81"/>
    </row>
    <row r="100" spans="1:16" s="1" customFormat="1" ht="15">
      <c r="A100" s="79"/>
      <c r="B100" s="79"/>
      <c r="C100" s="6" t="s">
        <v>16</v>
      </c>
      <c r="D100" s="38"/>
      <c r="E100" s="6"/>
      <c r="F100" s="38"/>
      <c r="G100" s="38"/>
      <c r="H100" s="38"/>
      <c r="I100" s="38"/>
      <c r="J100" s="38"/>
      <c r="K100" s="38"/>
      <c r="L100" s="80"/>
      <c r="M100" s="81"/>
      <c r="N100" s="81"/>
      <c r="O100" s="81"/>
      <c r="P100" s="81"/>
    </row>
    <row r="101" spans="1:16" ht="15">
      <c r="A101" s="82">
        <v>1</v>
      </c>
      <c r="B101" s="84" t="s">
        <v>17</v>
      </c>
      <c r="C101" s="85"/>
      <c r="D101" s="67"/>
      <c r="E101" s="8"/>
      <c r="F101" s="67"/>
      <c r="G101" s="67"/>
      <c r="H101" s="67"/>
      <c r="I101" s="67"/>
      <c r="J101" s="67"/>
      <c r="K101" s="67"/>
      <c r="L101" s="86"/>
      <c r="M101" s="86"/>
      <c r="N101" s="86"/>
      <c r="O101" s="86"/>
      <c r="P101" s="86"/>
    </row>
    <row r="102" spans="1:16" ht="15">
      <c r="A102" s="83"/>
      <c r="B102" s="87" t="s">
        <v>18</v>
      </c>
      <c r="C102" s="88"/>
      <c r="D102" s="39"/>
      <c r="E102" s="9"/>
      <c r="F102" s="39"/>
      <c r="G102" s="39"/>
      <c r="H102" s="39"/>
      <c r="I102" s="39"/>
      <c r="J102" s="39"/>
      <c r="K102" s="39"/>
      <c r="L102" s="86"/>
      <c r="M102" s="86"/>
      <c r="N102" s="86"/>
      <c r="O102" s="86"/>
      <c r="P102" s="86"/>
    </row>
    <row r="103" spans="1:16" ht="15">
      <c r="A103" s="72">
        <v>2</v>
      </c>
      <c r="B103" s="73" t="s">
        <v>19</v>
      </c>
      <c r="C103" s="73"/>
      <c r="D103" s="67"/>
      <c r="E103" s="8"/>
      <c r="F103" s="67"/>
      <c r="G103" s="67"/>
      <c r="H103" s="67"/>
      <c r="I103" s="67"/>
      <c r="J103" s="67"/>
      <c r="K103" s="67"/>
      <c r="L103" s="86"/>
      <c r="M103" s="86"/>
      <c r="N103" s="86"/>
      <c r="O103" s="86"/>
      <c r="P103" s="86"/>
    </row>
    <row r="104" spans="1:16" ht="15">
      <c r="A104" s="72"/>
      <c r="B104" s="70" t="s">
        <v>18</v>
      </c>
      <c r="C104" s="70"/>
      <c r="D104" s="39"/>
      <c r="E104" s="9"/>
      <c r="F104" s="39"/>
      <c r="G104" s="39"/>
      <c r="H104" s="39"/>
      <c r="I104" s="39"/>
      <c r="J104" s="39"/>
      <c r="K104" s="39"/>
      <c r="L104" s="86"/>
      <c r="M104" s="86"/>
      <c r="N104" s="86"/>
      <c r="O104" s="86"/>
      <c r="P104" s="86"/>
    </row>
    <row r="105" spans="1:16" ht="15">
      <c r="A105" s="72">
        <v>3</v>
      </c>
      <c r="B105" s="73" t="s">
        <v>20</v>
      </c>
      <c r="C105" s="73"/>
      <c r="D105" s="40"/>
      <c r="E105" s="10"/>
      <c r="F105" s="40"/>
      <c r="G105" s="40"/>
      <c r="H105" s="40"/>
      <c r="I105" s="40"/>
      <c r="J105" s="40"/>
      <c r="K105" s="40"/>
      <c r="L105" s="86"/>
      <c r="M105" s="86"/>
      <c r="N105" s="86"/>
      <c r="O105" s="86"/>
      <c r="P105" s="86"/>
    </row>
    <row r="106" spans="1:16" ht="15" customHeight="1">
      <c r="A106" s="72"/>
      <c r="B106" s="74" t="s">
        <v>21</v>
      </c>
      <c r="C106" s="74"/>
      <c r="D106" s="67"/>
      <c r="E106" s="8"/>
      <c r="F106" s="67"/>
      <c r="G106" s="67"/>
      <c r="H106" s="67"/>
      <c r="I106" s="67"/>
      <c r="J106" s="67"/>
      <c r="K106" s="67"/>
      <c r="L106" s="86"/>
      <c r="M106" s="86"/>
      <c r="N106" s="86"/>
      <c r="O106" s="86"/>
      <c r="P106" s="86"/>
    </row>
    <row r="107" spans="1:16" ht="15" customHeight="1">
      <c r="A107" s="72"/>
      <c r="B107" s="74" t="s">
        <v>22</v>
      </c>
      <c r="C107" s="74"/>
      <c r="D107" s="67"/>
      <c r="E107" s="8"/>
      <c r="F107" s="67"/>
      <c r="G107" s="67"/>
      <c r="H107" s="67"/>
      <c r="I107" s="67"/>
      <c r="J107" s="67"/>
      <c r="K107" s="67"/>
      <c r="L107" s="86"/>
      <c r="M107" s="86"/>
      <c r="N107" s="86"/>
      <c r="O107" s="86"/>
      <c r="P107" s="86"/>
    </row>
    <row r="108" spans="1:16" ht="15" customHeight="1">
      <c r="A108" s="72"/>
      <c r="B108" s="74" t="s">
        <v>23</v>
      </c>
      <c r="C108" s="74"/>
      <c r="D108" s="67"/>
      <c r="E108" s="8"/>
      <c r="F108" s="67"/>
      <c r="G108" s="67"/>
      <c r="H108" s="67"/>
      <c r="I108" s="67"/>
      <c r="J108" s="67"/>
      <c r="K108" s="67"/>
      <c r="L108" s="86"/>
      <c r="M108" s="86"/>
      <c r="N108" s="86"/>
      <c r="O108" s="86"/>
      <c r="P108" s="86"/>
    </row>
    <row r="109" spans="1:16" ht="15">
      <c r="A109" s="72"/>
      <c r="B109" s="70" t="s">
        <v>18</v>
      </c>
      <c r="C109" s="70"/>
      <c r="D109" s="39"/>
      <c r="E109" s="9"/>
      <c r="F109" s="39"/>
      <c r="G109" s="39"/>
      <c r="H109" s="39"/>
      <c r="I109" s="39"/>
      <c r="J109" s="39"/>
      <c r="K109" s="39"/>
      <c r="L109" s="86"/>
      <c r="M109" s="86"/>
      <c r="N109" s="86"/>
      <c r="O109" s="86"/>
      <c r="P109" s="86"/>
    </row>
    <row r="110" spans="1:16" ht="15">
      <c r="A110" s="72">
        <v>4</v>
      </c>
      <c r="B110" s="73" t="s">
        <v>24</v>
      </c>
      <c r="C110" s="73"/>
      <c r="D110" s="40"/>
      <c r="E110" s="10"/>
      <c r="F110" s="40"/>
      <c r="G110" s="40"/>
      <c r="H110" s="40"/>
      <c r="I110" s="40"/>
      <c r="J110" s="40"/>
      <c r="K110" s="40"/>
      <c r="L110" s="86"/>
      <c r="M110" s="86"/>
      <c r="N110" s="86"/>
      <c r="O110" s="86"/>
      <c r="P110" s="86"/>
    </row>
    <row r="111" spans="1:16" ht="15" customHeight="1">
      <c r="A111" s="72"/>
      <c r="B111" s="74" t="s">
        <v>25</v>
      </c>
      <c r="C111" s="74"/>
      <c r="D111" s="67"/>
      <c r="E111" s="8"/>
      <c r="F111" s="67"/>
      <c r="G111" s="67"/>
      <c r="H111" s="67"/>
      <c r="I111" s="67"/>
      <c r="J111" s="67"/>
      <c r="K111" s="67"/>
      <c r="L111" s="86"/>
      <c r="M111" s="86"/>
      <c r="N111" s="86"/>
      <c r="O111" s="86"/>
      <c r="P111" s="86"/>
    </row>
    <row r="112" spans="1:16" ht="15" customHeight="1">
      <c r="A112" s="72"/>
      <c r="B112" s="74" t="s">
        <v>26</v>
      </c>
      <c r="C112" s="74"/>
      <c r="D112" s="67"/>
      <c r="E112" s="8"/>
      <c r="F112" s="67"/>
      <c r="G112" s="67"/>
      <c r="H112" s="67"/>
      <c r="I112" s="67"/>
      <c r="J112" s="67"/>
      <c r="K112" s="67"/>
      <c r="L112" s="86"/>
      <c r="M112" s="86"/>
      <c r="N112" s="86"/>
      <c r="O112" s="86"/>
      <c r="P112" s="86"/>
    </row>
    <row r="113" spans="1:16" ht="15">
      <c r="A113" s="72"/>
      <c r="B113" s="70" t="s">
        <v>18</v>
      </c>
      <c r="C113" s="70"/>
      <c r="D113" s="39"/>
      <c r="E113" s="9"/>
      <c r="F113" s="39"/>
      <c r="G113" s="39"/>
      <c r="H113" s="39"/>
      <c r="I113" s="39"/>
      <c r="J113" s="39"/>
      <c r="K113" s="39"/>
      <c r="L113" s="86"/>
      <c r="M113" s="86"/>
      <c r="N113" s="86"/>
      <c r="O113" s="86"/>
      <c r="P113" s="86"/>
    </row>
    <row r="114" spans="1:16" ht="15">
      <c r="A114" s="72">
        <v>5</v>
      </c>
      <c r="B114" s="73" t="s">
        <v>27</v>
      </c>
      <c r="C114" s="73"/>
      <c r="D114" s="67"/>
      <c r="E114" s="8"/>
      <c r="F114" s="67"/>
      <c r="G114" s="67"/>
      <c r="H114" s="67"/>
      <c r="I114" s="67"/>
      <c r="J114" s="67"/>
      <c r="K114" s="67"/>
      <c r="L114" s="86"/>
      <c r="M114" s="86"/>
      <c r="N114" s="86"/>
      <c r="O114" s="86"/>
      <c r="P114" s="86"/>
    </row>
    <row r="115" spans="1:16" ht="15">
      <c r="A115" s="72"/>
      <c r="B115" s="70" t="s">
        <v>18</v>
      </c>
      <c r="C115" s="70"/>
      <c r="D115" s="39"/>
      <c r="E115" s="9"/>
      <c r="F115" s="39"/>
      <c r="G115" s="39"/>
      <c r="H115" s="39"/>
      <c r="I115" s="39"/>
      <c r="J115" s="39"/>
      <c r="K115" s="39"/>
      <c r="L115" s="86"/>
      <c r="M115" s="86"/>
      <c r="N115" s="86"/>
      <c r="O115" s="86"/>
      <c r="P115" s="86"/>
    </row>
    <row r="116" spans="1:16" ht="15">
      <c r="A116" s="72">
        <v>6</v>
      </c>
      <c r="B116" s="73" t="s">
        <v>28</v>
      </c>
      <c r="C116" s="73"/>
      <c r="D116" s="40"/>
      <c r="E116" s="10"/>
      <c r="F116" s="40"/>
      <c r="G116" s="40"/>
      <c r="H116" s="40"/>
      <c r="I116" s="40"/>
      <c r="J116" s="40"/>
      <c r="K116" s="40"/>
      <c r="L116" s="86"/>
      <c r="M116" s="86"/>
      <c r="N116" s="86"/>
      <c r="O116" s="86"/>
      <c r="P116" s="86"/>
    </row>
    <row r="117" spans="1:16" ht="15" customHeight="1">
      <c r="A117" s="72"/>
      <c r="B117" s="74" t="s">
        <v>29</v>
      </c>
      <c r="C117" s="74"/>
      <c r="D117" s="67"/>
      <c r="E117" s="8"/>
      <c r="F117" s="67"/>
      <c r="G117" s="67"/>
      <c r="H117" s="67"/>
      <c r="I117" s="67"/>
      <c r="J117" s="67"/>
      <c r="K117" s="67"/>
      <c r="L117" s="86"/>
      <c r="M117" s="86"/>
      <c r="N117" s="86"/>
      <c r="O117" s="86"/>
      <c r="P117" s="86"/>
    </row>
    <row r="118" spans="1:16" ht="15" customHeight="1">
      <c r="A118" s="72"/>
      <c r="B118" s="74" t="s">
        <v>30</v>
      </c>
      <c r="C118" s="74"/>
      <c r="D118" s="67"/>
      <c r="E118" s="8"/>
      <c r="F118" s="67"/>
      <c r="G118" s="67"/>
      <c r="H118" s="67"/>
      <c r="I118" s="67"/>
      <c r="J118" s="67"/>
      <c r="K118" s="67"/>
      <c r="L118" s="86"/>
      <c r="M118" s="86"/>
      <c r="N118" s="86"/>
      <c r="O118" s="86"/>
      <c r="P118" s="86"/>
    </row>
    <row r="119" spans="1:16" ht="15" customHeight="1">
      <c r="A119" s="72"/>
      <c r="B119" s="74" t="s">
        <v>31</v>
      </c>
      <c r="C119" s="74"/>
      <c r="D119" s="67"/>
      <c r="E119" s="8"/>
      <c r="F119" s="67"/>
      <c r="G119" s="67"/>
      <c r="H119" s="67"/>
      <c r="I119" s="67"/>
      <c r="J119" s="67"/>
      <c r="K119" s="67"/>
      <c r="L119" s="86"/>
      <c r="M119" s="86"/>
      <c r="N119" s="86"/>
      <c r="O119" s="86"/>
      <c r="P119" s="86"/>
    </row>
    <row r="120" spans="1:16" ht="15" customHeight="1">
      <c r="A120" s="72"/>
      <c r="B120" s="74" t="s">
        <v>32</v>
      </c>
      <c r="C120" s="74"/>
      <c r="D120" s="67"/>
      <c r="E120" s="8"/>
      <c r="F120" s="67"/>
      <c r="G120" s="67"/>
      <c r="H120" s="67"/>
      <c r="I120" s="67"/>
      <c r="J120" s="67"/>
      <c r="K120" s="67"/>
      <c r="L120" s="86"/>
      <c r="M120" s="86"/>
      <c r="N120" s="86"/>
      <c r="O120" s="86"/>
      <c r="P120" s="86"/>
    </row>
    <row r="121" spans="1:16" ht="15" customHeight="1">
      <c r="A121" s="72"/>
      <c r="B121" s="74" t="s">
        <v>33</v>
      </c>
      <c r="C121" s="74"/>
      <c r="D121" s="67"/>
      <c r="E121" s="8"/>
      <c r="F121" s="67"/>
      <c r="G121" s="67"/>
      <c r="H121" s="67"/>
      <c r="I121" s="67"/>
      <c r="J121" s="67"/>
      <c r="K121" s="67"/>
      <c r="L121" s="86"/>
      <c r="M121" s="86"/>
      <c r="N121" s="86"/>
      <c r="O121" s="86"/>
      <c r="P121" s="86"/>
    </row>
    <row r="122" spans="1:16" ht="15">
      <c r="A122" s="72"/>
      <c r="B122" s="70" t="s">
        <v>18</v>
      </c>
      <c r="C122" s="70"/>
      <c r="D122" s="39"/>
      <c r="E122" s="9"/>
      <c r="F122" s="39"/>
      <c r="G122" s="39"/>
      <c r="H122" s="39"/>
      <c r="I122" s="39"/>
      <c r="J122" s="39"/>
      <c r="K122" s="39"/>
      <c r="L122" s="86"/>
      <c r="M122" s="86"/>
      <c r="N122" s="86"/>
      <c r="O122" s="86"/>
      <c r="P122" s="86"/>
    </row>
    <row r="123" spans="1:16" ht="15">
      <c r="A123" s="72">
        <v>7</v>
      </c>
      <c r="B123" s="73" t="s">
        <v>34</v>
      </c>
      <c r="C123" s="73"/>
      <c r="D123" s="40"/>
      <c r="E123" s="10"/>
      <c r="F123" s="40"/>
      <c r="G123" s="40"/>
      <c r="H123" s="40"/>
      <c r="I123" s="40"/>
      <c r="J123" s="40"/>
      <c r="K123" s="40"/>
      <c r="L123" s="86"/>
      <c r="M123" s="86"/>
      <c r="N123" s="86"/>
      <c r="O123" s="86"/>
      <c r="P123" s="86"/>
    </row>
    <row r="124" spans="1:16" ht="15" customHeight="1">
      <c r="A124" s="72"/>
      <c r="B124" s="74" t="s">
        <v>35</v>
      </c>
      <c r="C124" s="74"/>
      <c r="D124" s="67"/>
      <c r="E124" s="8"/>
      <c r="F124" s="67"/>
      <c r="G124" s="67"/>
      <c r="H124" s="67"/>
      <c r="I124" s="67"/>
      <c r="J124" s="67"/>
      <c r="K124" s="67"/>
      <c r="L124" s="86"/>
      <c r="M124" s="86"/>
      <c r="N124" s="86"/>
      <c r="O124" s="86"/>
      <c r="P124" s="86"/>
    </row>
    <row r="125" spans="1:16" ht="15" customHeight="1">
      <c r="A125" s="72"/>
      <c r="B125" s="74" t="s">
        <v>36</v>
      </c>
      <c r="C125" s="74"/>
      <c r="D125" s="67"/>
      <c r="E125" s="8"/>
      <c r="F125" s="67"/>
      <c r="G125" s="67"/>
      <c r="H125" s="67"/>
      <c r="I125" s="67"/>
      <c r="J125" s="67"/>
      <c r="K125" s="67"/>
      <c r="L125" s="86"/>
      <c r="M125" s="86"/>
      <c r="N125" s="86"/>
      <c r="O125" s="86"/>
      <c r="P125" s="86"/>
    </row>
    <row r="126" spans="1:16" ht="15" customHeight="1">
      <c r="A126" s="72"/>
      <c r="B126" s="74" t="s">
        <v>37</v>
      </c>
      <c r="C126" s="74"/>
      <c r="D126" s="67"/>
      <c r="E126" s="8"/>
      <c r="F126" s="67"/>
      <c r="G126" s="67"/>
      <c r="H126" s="67"/>
      <c r="I126" s="67"/>
      <c r="J126" s="67"/>
      <c r="K126" s="67"/>
      <c r="L126" s="86"/>
      <c r="M126" s="86"/>
      <c r="N126" s="86"/>
      <c r="O126" s="86"/>
      <c r="P126" s="86"/>
    </row>
    <row r="127" spans="1:16" ht="15" customHeight="1">
      <c r="A127" s="72"/>
      <c r="B127" s="74" t="s">
        <v>38</v>
      </c>
      <c r="C127" s="74"/>
      <c r="D127" s="67"/>
      <c r="E127" s="8"/>
      <c r="F127" s="67"/>
      <c r="G127" s="67"/>
      <c r="H127" s="67"/>
      <c r="I127" s="67"/>
      <c r="J127" s="67"/>
      <c r="K127" s="67"/>
      <c r="L127" s="86"/>
      <c r="M127" s="86"/>
      <c r="N127" s="86"/>
      <c r="O127" s="86"/>
      <c r="P127" s="86"/>
    </row>
    <row r="128" spans="1:16" ht="15" customHeight="1">
      <c r="A128" s="72"/>
      <c r="B128" s="74" t="s">
        <v>39</v>
      </c>
      <c r="C128" s="74"/>
      <c r="D128" s="67"/>
      <c r="E128" s="8"/>
      <c r="F128" s="67"/>
      <c r="G128" s="67"/>
      <c r="H128" s="67"/>
      <c r="I128" s="67"/>
      <c r="J128" s="67"/>
      <c r="K128" s="67"/>
      <c r="L128" s="86"/>
      <c r="M128" s="86"/>
      <c r="N128" s="86"/>
      <c r="O128" s="86"/>
      <c r="P128" s="86"/>
    </row>
    <row r="129" spans="1:16" ht="15" customHeight="1">
      <c r="A129" s="72"/>
      <c r="B129" s="74" t="s">
        <v>40</v>
      </c>
      <c r="C129" s="74"/>
      <c r="D129" s="67"/>
      <c r="E129" s="8"/>
      <c r="F129" s="67"/>
      <c r="G129" s="67"/>
      <c r="H129" s="67"/>
      <c r="I129" s="67"/>
      <c r="J129" s="67"/>
      <c r="K129" s="67"/>
      <c r="L129" s="86"/>
      <c r="M129" s="86"/>
      <c r="N129" s="86"/>
      <c r="O129" s="86"/>
      <c r="P129" s="86"/>
    </row>
    <row r="130" spans="1:16" ht="15" customHeight="1">
      <c r="A130" s="72"/>
      <c r="B130" s="74" t="s">
        <v>41</v>
      </c>
      <c r="C130" s="74"/>
      <c r="D130" s="67"/>
      <c r="E130" s="8"/>
      <c r="F130" s="67"/>
      <c r="G130" s="67"/>
      <c r="H130" s="67"/>
      <c r="I130" s="67"/>
      <c r="J130" s="67"/>
      <c r="K130" s="67"/>
      <c r="L130" s="86"/>
      <c r="M130" s="86"/>
      <c r="N130" s="86"/>
      <c r="O130" s="86"/>
      <c r="P130" s="86"/>
    </row>
    <row r="131" spans="1:16" ht="15" customHeight="1">
      <c r="A131" s="72"/>
      <c r="B131" s="74" t="s">
        <v>42</v>
      </c>
      <c r="C131" s="74"/>
      <c r="D131" s="67"/>
      <c r="E131" s="8"/>
      <c r="F131" s="67"/>
      <c r="G131" s="67"/>
      <c r="H131" s="67"/>
      <c r="I131" s="67"/>
      <c r="J131" s="67"/>
      <c r="K131" s="67"/>
      <c r="L131" s="86"/>
      <c r="M131" s="86"/>
      <c r="N131" s="86"/>
      <c r="O131" s="86"/>
      <c r="P131" s="86"/>
    </row>
    <row r="132" spans="1:16" ht="15" customHeight="1">
      <c r="A132" s="72"/>
      <c r="B132" s="68" t="s">
        <v>43</v>
      </c>
      <c r="C132" s="69"/>
      <c r="D132" s="67"/>
      <c r="E132" s="8"/>
      <c r="F132" s="67"/>
      <c r="G132" s="67"/>
      <c r="H132" s="67"/>
      <c r="I132" s="67"/>
      <c r="J132" s="67"/>
      <c r="K132" s="67"/>
      <c r="L132" s="86"/>
      <c r="M132" s="86"/>
      <c r="N132" s="86"/>
      <c r="O132" s="86"/>
      <c r="P132" s="86"/>
    </row>
    <row r="133" spans="1:16" ht="15">
      <c r="A133" s="72"/>
      <c r="B133" s="70" t="s">
        <v>18</v>
      </c>
      <c r="C133" s="70"/>
      <c r="D133" s="39"/>
      <c r="E133" s="9"/>
      <c r="F133" s="39"/>
      <c r="G133" s="39"/>
      <c r="H133" s="39"/>
      <c r="I133" s="39"/>
      <c r="J133" s="39"/>
      <c r="K133" s="39"/>
      <c r="L133" s="86"/>
      <c r="M133" s="86"/>
      <c r="N133" s="86"/>
      <c r="O133" s="86"/>
      <c r="P133" s="86"/>
    </row>
    <row r="134" spans="1:16">
      <c r="B134"/>
    </row>
    <row r="135" spans="1:16" ht="15">
      <c r="B135" s="71" t="s">
        <v>44</v>
      </c>
      <c r="C135" s="71"/>
      <c r="D135" s="1">
        <f>SUM(D101:D132)</f>
        <v>0</v>
      </c>
      <c r="E135" s="1">
        <f t="shared" ref="E135:K135" si="6">SUM(E101:E132)</f>
        <v>0</v>
      </c>
      <c r="F135" s="1">
        <f t="shared" si="6"/>
        <v>0</v>
      </c>
      <c r="G135" s="1">
        <f t="shared" si="6"/>
        <v>0</v>
      </c>
      <c r="H135" s="1">
        <f t="shared" si="6"/>
        <v>0</v>
      </c>
      <c r="I135" s="1">
        <f t="shared" si="6"/>
        <v>0</v>
      </c>
      <c r="J135" s="1">
        <f t="shared" si="6"/>
        <v>0</v>
      </c>
      <c r="K135" s="1">
        <f t="shared" si="6"/>
        <v>0</v>
      </c>
      <c r="M135" s="17" t="s">
        <v>2</v>
      </c>
      <c r="N135" s="17" t="s">
        <v>3</v>
      </c>
    </row>
    <row r="136" spans="1:16" ht="15">
      <c r="B136"/>
      <c r="C136" s="64"/>
      <c r="D136" s="1">
        <f>COUNT(D101:D133)*5</f>
        <v>0</v>
      </c>
      <c r="E136" s="1">
        <f t="shared" ref="E136:K136" si="7">COUNT(E101:E133)*5</f>
        <v>0</v>
      </c>
      <c r="F136" s="1">
        <f t="shared" si="7"/>
        <v>0</v>
      </c>
      <c r="G136" s="1">
        <f t="shared" si="7"/>
        <v>0</v>
      </c>
      <c r="H136" s="1">
        <f t="shared" si="7"/>
        <v>0</v>
      </c>
      <c r="I136" s="1">
        <f t="shared" si="7"/>
        <v>0</v>
      </c>
      <c r="J136" s="1">
        <f t="shared" si="7"/>
        <v>0</v>
      </c>
      <c r="K136" s="1">
        <f t="shared" si="7"/>
        <v>0</v>
      </c>
      <c r="M136" s="18" t="e">
        <f>(D137+F137+H137+J137)/4</f>
        <v>#DIV/0!</v>
      </c>
      <c r="N136" s="18" t="e">
        <f>(E137+G137+I137+K137)/4</f>
        <v>#DIV/0!</v>
      </c>
    </row>
    <row r="137" spans="1:16" ht="15">
      <c r="B137"/>
      <c r="C137" s="2" t="s">
        <v>45</v>
      </c>
      <c r="D137" s="11" t="e">
        <f>D135/D136</f>
        <v>#DIV/0!</v>
      </c>
      <c r="E137" s="11" t="e">
        <f t="shared" ref="E137:K137" si="8">E135/E136</f>
        <v>#DIV/0!</v>
      </c>
      <c r="F137" s="11" t="e">
        <f t="shared" si="8"/>
        <v>#DIV/0!</v>
      </c>
      <c r="G137" s="11" t="e">
        <f t="shared" si="8"/>
        <v>#DIV/0!</v>
      </c>
      <c r="H137" s="11" t="e">
        <f t="shared" si="8"/>
        <v>#DIV/0!</v>
      </c>
      <c r="I137" s="11" t="e">
        <f t="shared" si="8"/>
        <v>#DIV/0!</v>
      </c>
      <c r="J137" s="11" t="e">
        <f t="shared" si="8"/>
        <v>#DIV/0!</v>
      </c>
      <c r="K137" s="11" t="e">
        <f t="shared" si="8"/>
        <v>#DIV/0!</v>
      </c>
      <c r="L137" s="4"/>
      <c r="M137" s="4"/>
      <c r="N137" s="4"/>
      <c r="O137" s="4"/>
      <c r="P137" s="4"/>
    </row>
    <row r="138" spans="1:16" s="22" customFormat="1"/>
    <row r="139" spans="1:16" ht="18">
      <c r="B139" s="16" t="s">
        <v>48</v>
      </c>
      <c r="C139" s="23" t="s">
        <v>6</v>
      </c>
      <c r="D139" s="75" t="s">
        <v>7</v>
      </c>
      <c r="E139" s="76"/>
      <c r="F139" s="75" t="s">
        <v>8</v>
      </c>
      <c r="G139" s="76"/>
      <c r="H139" s="75" t="s">
        <v>9</v>
      </c>
      <c r="I139" s="76"/>
      <c r="J139" s="75" t="s">
        <v>10</v>
      </c>
      <c r="K139" s="76"/>
    </row>
    <row r="140" spans="1:16" s="1" customFormat="1" ht="15">
      <c r="A140" s="77" t="s">
        <v>11</v>
      </c>
      <c r="B140" s="77" t="s">
        <v>12</v>
      </c>
      <c r="C140" s="6" t="s">
        <v>13</v>
      </c>
      <c r="D140" s="41">
        <v>46117</v>
      </c>
      <c r="E140" s="29"/>
      <c r="F140" s="42">
        <v>46124</v>
      </c>
      <c r="G140" s="42"/>
      <c r="H140" s="42">
        <v>46131</v>
      </c>
      <c r="I140" s="42"/>
      <c r="J140" s="42">
        <v>46138</v>
      </c>
      <c r="K140" s="42"/>
      <c r="L140" s="80" t="s">
        <v>14</v>
      </c>
      <c r="M140" s="81"/>
      <c r="N140" s="81"/>
      <c r="O140" s="81"/>
      <c r="P140" s="81"/>
    </row>
    <row r="141" spans="1:16" s="1" customFormat="1" ht="15">
      <c r="A141" s="78"/>
      <c r="B141" s="78"/>
      <c r="C141" s="6"/>
      <c r="D141" s="7" t="s">
        <v>2</v>
      </c>
      <c r="E141" s="7" t="s">
        <v>15</v>
      </c>
      <c r="F141" s="38" t="s">
        <v>2</v>
      </c>
      <c r="G141" s="38" t="s">
        <v>15</v>
      </c>
      <c r="H141" s="38" t="s">
        <v>2</v>
      </c>
      <c r="I141" s="38" t="s">
        <v>15</v>
      </c>
      <c r="J141" s="38" t="s">
        <v>2</v>
      </c>
      <c r="K141" s="38" t="s">
        <v>15</v>
      </c>
      <c r="L141" s="80"/>
      <c r="M141" s="81"/>
      <c r="N141" s="81"/>
      <c r="O141" s="81"/>
      <c r="P141" s="81"/>
    </row>
    <row r="142" spans="1:16" s="1" customFormat="1" ht="15">
      <c r="A142" s="79"/>
      <c r="B142" s="79"/>
      <c r="C142" s="6" t="s">
        <v>16</v>
      </c>
      <c r="D142" s="38" t="s">
        <v>90</v>
      </c>
      <c r="E142" s="6"/>
      <c r="F142" s="38" t="s">
        <v>90</v>
      </c>
      <c r="G142" s="38"/>
      <c r="H142" s="38" t="s">
        <v>90</v>
      </c>
      <c r="I142" s="38"/>
      <c r="J142" s="38" t="s">
        <v>90</v>
      </c>
      <c r="K142" s="38"/>
      <c r="L142" s="80"/>
      <c r="M142" s="81"/>
      <c r="N142" s="81"/>
      <c r="O142" s="81"/>
      <c r="P142" s="81"/>
    </row>
    <row r="143" spans="1:16" ht="15">
      <c r="A143" s="82">
        <v>1</v>
      </c>
      <c r="B143" s="84" t="s">
        <v>17</v>
      </c>
      <c r="C143" s="85"/>
      <c r="D143" s="67">
        <v>4</v>
      </c>
      <c r="E143" s="8"/>
      <c r="F143" s="67">
        <v>4</v>
      </c>
      <c r="G143" s="67"/>
      <c r="H143" s="67">
        <v>4</v>
      </c>
      <c r="I143" s="67"/>
      <c r="J143" s="67">
        <v>4</v>
      </c>
      <c r="K143" s="67"/>
      <c r="L143" s="86"/>
      <c r="M143" s="86"/>
      <c r="N143" s="86"/>
      <c r="O143" s="86"/>
      <c r="P143" s="86"/>
    </row>
    <row r="144" spans="1:16" ht="15">
      <c r="A144" s="83"/>
      <c r="B144" s="87" t="s">
        <v>18</v>
      </c>
      <c r="C144" s="88"/>
      <c r="D144" s="39"/>
      <c r="E144" s="9"/>
      <c r="F144" s="39"/>
      <c r="G144" s="39"/>
      <c r="H144" s="39"/>
      <c r="I144" s="39"/>
      <c r="J144" s="39"/>
      <c r="K144" s="39"/>
      <c r="L144" s="86"/>
      <c r="M144" s="86"/>
      <c r="N144" s="86"/>
      <c r="O144" s="86"/>
      <c r="P144" s="86"/>
    </row>
    <row r="145" spans="1:16" ht="15">
      <c r="A145" s="72">
        <v>2</v>
      </c>
      <c r="B145" s="73" t="s">
        <v>19</v>
      </c>
      <c r="C145" s="73"/>
      <c r="D145" s="67">
        <v>4</v>
      </c>
      <c r="E145" s="8"/>
      <c r="F145" s="67">
        <v>4</v>
      </c>
      <c r="G145" s="67"/>
      <c r="H145" s="67">
        <v>4</v>
      </c>
      <c r="I145" s="67"/>
      <c r="J145" s="67">
        <v>4</v>
      </c>
      <c r="K145" s="67"/>
      <c r="L145" s="86"/>
      <c r="M145" s="86"/>
      <c r="N145" s="86"/>
      <c r="O145" s="86"/>
      <c r="P145" s="86"/>
    </row>
    <row r="146" spans="1:16" ht="15">
      <c r="A146" s="72"/>
      <c r="B146" s="70" t="s">
        <v>18</v>
      </c>
      <c r="C146" s="70"/>
      <c r="D146" s="39"/>
      <c r="E146" s="9"/>
      <c r="F146" s="39"/>
      <c r="G146" s="39"/>
      <c r="H146" s="39"/>
      <c r="I146" s="39"/>
      <c r="J146" s="39"/>
      <c r="K146" s="39"/>
      <c r="L146" s="86"/>
      <c r="M146" s="86"/>
      <c r="N146" s="86"/>
      <c r="O146" s="86"/>
      <c r="P146" s="86"/>
    </row>
    <row r="147" spans="1:16" ht="15">
      <c r="A147" s="72">
        <v>3</v>
      </c>
      <c r="B147" s="73" t="s">
        <v>20</v>
      </c>
      <c r="C147" s="73"/>
      <c r="D147" s="40"/>
      <c r="E147" s="10"/>
      <c r="F147" s="40"/>
      <c r="G147" s="40"/>
      <c r="H147" s="40"/>
      <c r="I147" s="40"/>
      <c r="J147" s="40"/>
      <c r="K147" s="40"/>
      <c r="L147" s="86"/>
      <c r="M147" s="86"/>
      <c r="N147" s="86"/>
      <c r="O147" s="86"/>
      <c r="P147" s="86"/>
    </row>
    <row r="148" spans="1:16" ht="15" customHeight="1">
      <c r="A148" s="72"/>
      <c r="B148" s="74" t="s">
        <v>21</v>
      </c>
      <c r="C148" s="74"/>
      <c r="D148" s="67">
        <v>4</v>
      </c>
      <c r="E148" s="8"/>
      <c r="F148" s="67">
        <v>4</v>
      </c>
      <c r="G148" s="67"/>
      <c r="H148" s="67">
        <v>4</v>
      </c>
      <c r="I148" s="67"/>
      <c r="J148" s="67">
        <v>4</v>
      </c>
      <c r="K148" s="67"/>
      <c r="L148" s="86"/>
      <c r="M148" s="86"/>
      <c r="N148" s="86"/>
      <c r="O148" s="86"/>
      <c r="P148" s="86"/>
    </row>
    <row r="149" spans="1:16" ht="15" customHeight="1">
      <c r="A149" s="72"/>
      <c r="B149" s="74" t="s">
        <v>22</v>
      </c>
      <c r="C149" s="74"/>
      <c r="D149" s="67">
        <v>4</v>
      </c>
      <c r="E149" s="8"/>
      <c r="F149" s="67">
        <v>4</v>
      </c>
      <c r="G149" s="67"/>
      <c r="H149" s="67">
        <v>4</v>
      </c>
      <c r="I149" s="67"/>
      <c r="J149" s="67">
        <v>4</v>
      </c>
      <c r="K149" s="67"/>
      <c r="L149" s="86"/>
      <c r="M149" s="86"/>
      <c r="N149" s="86"/>
      <c r="O149" s="86"/>
      <c r="P149" s="86"/>
    </row>
    <row r="150" spans="1:16" ht="15" customHeight="1">
      <c r="A150" s="72"/>
      <c r="B150" s="74" t="s">
        <v>23</v>
      </c>
      <c r="C150" s="74"/>
      <c r="D150" s="67">
        <v>4</v>
      </c>
      <c r="E150" s="8"/>
      <c r="F150" s="67">
        <v>4</v>
      </c>
      <c r="G150" s="67"/>
      <c r="H150" s="67">
        <v>4</v>
      </c>
      <c r="I150" s="67"/>
      <c r="J150" s="67">
        <v>4</v>
      </c>
      <c r="K150" s="67"/>
      <c r="L150" s="86"/>
      <c r="M150" s="86"/>
      <c r="N150" s="86"/>
      <c r="O150" s="86"/>
      <c r="P150" s="86"/>
    </row>
    <row r="151" spans="1:16" ht="15">
      <c r="A151" s="72"/>
      <c r="B151" s="70" t="s">
        <v>18</v>
      </c>
      <c r="C151" s="70"/>
      <c r="D151" s="39"/>
      <c r="E151" s="9"/>
      <c r="F151" s="39"/>
      <c r="G151" s="39"/>
      <c r="H151" s="39"/>
      <c r="I151" s="39"/>
      <c r="J151" s="39"/>
      <c r="K151" s="39"/>
      <c r="L151" s="86"/>
      <c r="M151" s="86"/>
      <c r="N151" s="86"/>
      <c r="O151" s="86"/>
      <c r="P151" s="86"/>
    </row>
    <row r="152" spans="1:16" ht="15">
      <c r="A152" s="72">
        <v>4</v>
      </c>
      <c r="B152" s="73" t="s">
        <v>24</v>
      </c>
      <c r="C152" s="73"/>
      <c r="D152" s="40"/>
      <c r="E152" s="10"/>
      <c r="F152" s="40"/>
      <c r="G152" s="40"/>
      <c r="H152" s="40"/>
      <c r="I152" s="40"/>
      <c r="J152" s="40"/>
      <c r="K152" s="40"/>
      <c r="L152" s="86"/>
      <c r="M152" s="86"/>
      <c r="N152" s="86"/>
      <c r="O152" s="86"/>
      <c r="P152" s="86"/>
    </row>
    <row r="153" spans="1:16" ht="15" customHeight="1">
      <c r="A153" s="72"/>
      <c r="B153" s="74" t="s">
        <v>25</v>
      </c>
      <c r="C153" s="74"/>
      <c r="D153" s="67">
        <v>4</v>
      </c>
      <c r="E153" s="8"/>
      <c r="F153" s="67">
        <v>4</v>
      </c>
      <c r="G153" s="67"/>
      <c r="H153" s="67">
        <v>4</v>
      </c>
      <c r="I153" s="67"/>
      <c r="J153" s="67">
        <v>4</v>
      </c>
      <c r="K153" s="67"/>
      <c r="L153" s="86"/>
      <c r="M153" s="86"/>
      <c r="N153" s="86"/>
      <c r="O153" s="86"/>
      <c r="P153" s="86"/>
    </row>
    <row r="154" spans="1:16" ht="15" customHeight="1">
      <c r="A154" s="72"/>
      <c r="B154" s="74" t="s">
        <v>26</v>
      </c>
      <c r="C154" s="74"/>
      <c r="D154" s="67">
        <v>4</v>
      </c>
      <c r="E154" s="8"/>
      <c r="F154" s="67">
        <v>4</v>
      </c>
      <c r="G154" s="67"/>
      <c r="H154" s="67">
        <v>4</v>
      </c>
      <c r="I154" s="67"/>
      <c r="J154" s="67">
        <v>4</v>
      </c>
      <c r="K154" s="67"/>
      <c r="L154" s="86"/>
      <c r="M154" s="86"/>
      <c r="N154" s="86"/>
      <c r="O154" s="86"/>
      <c r="P154" s="86"/>
    </row>
    <row r="155" spans="1:16" ht="15">
      <c r="A155" s="72"/>
      <c r="B155" s="70" t="s">
        <v>18</v>
      </c>
      <c r="C155" s="70"/>
      <c r="D155" s="39"/>
      <c r="E155" s="9"/>
      <c r="F155" s="39"/>
      <c r="G155" s="39"/>
      <c r="H155" s="39"/>
      <c r="I155" s="39"/>
      <c r="J155" s="39"/>
      <c r="K155" s="39"/>
      <c r="L155" s="86"/>
      <c r="M155" s="86"/>
      <c r="N155" s="86"/>
      <c r="O155" s="86"/>
      <c r="P155" s="86"/>
    </row>
    <row r="156" spans="1:16" ht="15">
      <c r="A156" s="72">
        <v>5</v>
      </c>
      <c r="B156" s="73" t="s">
        <v>27</v>
      </c>
      <c r="C156" s="73"/>
      <c r="D156" s="67">
        <v>4</v>
      </c>
      <c r="E156" s="8"/>
      <c r="F156" s="67">
        <v>4</v>
      </c>
      <c r="G156" s="67"/>
      <c r="H156" s="67">
        <v>4</v>
      </c>
      <c r="I156" s="67"/>
      <c r="J156" s="67">
        <v>4</v>
      </c>
      <c r="K156" s="67"/>
      <c r="L156" s="86"/>
      <c r="M156" s="86"/>
      <c r="N156" s="86"/>
      <c r="O156" s="86"/>
      <c r="P156" s="86"/>
    </row>
    <row r="157" spans="1:16" ht="15">
      <c r="A157" s="72"/>
      <c r="B157" s="70" t="s">
        <v>18</v>
      </c>
      <c r="C157" s="70"/>
      <c r="D157" s="39"/>
      <c r="E157" s="9"/>
      <c r="F157" s="39"/>
      <c r="G157" s="39"/>
      <c r="H157" s="39"/>
      <c r="I157" s="39"/>
      <c r="J157" s="39"/>
      <c r="K157" s="39"/>
      <c r="L157" s="86"/>
      <c r="M157" s="86"/>
      <c r="N157" s="86"/>
      <c r="O157" s="86"/>
      <c r="P157" s="86"/>
    </row>
    <row r="158" spans="1:16" ht="15">
      <c r="A158" s="72">
        <v>6</v>
      </c>
      <c r="B158" s="73" t="s">
        <v>28</v>
      </c>
      <c r="C158" s="73"/>
      <c r="D158" s="40"/>
      <c r="E158" s="10"/>
      <c r="F158" s="40"/>
      <c r="G158" s="40"/>
      <c r="H158" s="40"/>
      <c r="I158" s="40"/>
      <c r="J158" s="40"/>
      <c r="K158" s="40"/>
      <c r="L158" s="86"/>
      <c r="M158" s="86"/>
      <c r="N158" s="86"/>
      <c r="O158" s="86"/>
      <c r="P158" s="86"/>
    </row>
    <row r="159" spans="1:16" ht="15" customHeight="1">
      <c r="A159" s="72"/>
      <c r="B159" s="74" t="s">
        <v>29</v>
      </c>
      <c r="C159" s="74"/>
      <c r="D159" s="67">
        <v>4</v>
      </c>
      <c r="E159" s="8"/>
      <c r="F159" s="67">
        <v>4</v>
      </c>
      <c r="G159" s="67"/>
      <c r="H159" s="67">
        <v>4</v>
      </c>
      <c r="I159" s="67"/>
      <c r="J159" s="67">
        <v>4</v>
      </c>
      <c r="K159" s="67"/>
      <c r="L159" s="86"/>
      <c r="M159" s="86"/>
      <c r="N159" s="86"/>
      <c r="O159" s="86"/>
      <c r="P159" s="86"/>
    </row>
    <row r="160" spans="1:16" ht="15" customHeight="1">
      <c r="A160" s="72"/>
      <c r="B160" s="74" t="s">
        <v>30</v>
      </c>
      <c r="C160" s="74"/>
      <c r="D160" s="67">
        <v>4</v>
      </c>
      <c r="E160" s="8"/>
      <c r="F160" s="67">
        <v>4</v>
      </c>
      <c r="G160" s="67"/>
      <c r="H160" s="67">
        <v>4</v>
      </c>
      <c r="I160" s="67"/>
      <c r="J160" s="67">
        <v>4</v>
      </c>
      <c r="K160" s="67"/>
      <c r="L160" s="86"/>
      <c r="M160" s="86"/>
      <c r="N160" s="86"/>
      <c r="O160" s="86"/>
      <c r="P160" s="86"/>
    </row>
    <row r="161" spans="1:16" ht="15" customHeight="1">
      <c r="A161" s="72"/>
      <c r="B161" s="74" t="s">
        <v>31</v>
      </c>
      <c r="C161" s="74"/>
      <c r="D161" s="67">
        <v>4</v>
      </c>
      <c r="E161" s="8"/>
      <c r="F161" s="67">
        <v>4</v>
      </c>
      <c r="G161" s="67"/>
      <c r="H161" s="67">
        <v>4</v>
      </c>
      <c r="I161" s="67"/>
      <c r="J161" s="67">
        <v>4</v>
      </c>
      <c r="K161" s="67"/>
      <c r="L161" s="86"/>
      <c r="M161" s="86"/>
      <c r="N161" s="86"/>
      <c r="O161" s="86"/>
      <c r="P161" s="86"/>
    </row>
    <row r="162" spans="1:16" ht="15" customHeight="1">
      <c r="A162" s="72"/>
      <c r="B162" s="74" t="s">
        <v>32</v>
      </c>
      <c r="C162" s="74"/>
      <c r="D162" s="67">
        <v>4</v>
      </c>
      <c r="E162" s="8"/>
      <c r="F162" s="67">
        <v>4</v>
      </c>
      <c r="G162" s="67"/>
      <c r="H162" s="67">
        <v>4</v>
      </c>
      <c r="I162" s="67"/>
      <c r="J162" s="67">
        <v>4</v>
      </c>
      <c r="K162" s="67"/>
      <c r="L162" s="86"/>
      <c r="M162" s="86"/>
      <c r="N162" s="86"/>
      <c r="O162" s="86"/>
      <c r="P162" s="86"/>
    </row>
    <row r="163" spans="1:16" ht="15" customHeight="1">
      <c r="A163" s="72"/>
      <c r="B163" s="74" t="s">
        <v>33</v>
      </c>
      <c r="C163" s="74"/>
      <c r="D163" s="67">
        <v>4</v>
      </c>
      <c r="E163" s="8"/>
      <c r="F163" s="67">
        <v>4</v>
      </c>
      <c r="G163" s="67"/>
      <c r="H163" s="67">
        <v>4</v>
      </c>
      <c r="I163" s="67"/>
      <c r="J163" s="67">
        <v>4</v>
      </c>
      <c r="K163" s="67"/>
      <c r="L163" s="86"/>
      <c r="M163" s="86"/>
      <c r="N163" s="86"/>
      <c r="O163" s="86"/>
      <c r="P163" s="86"/>
    </row>
    <row r="164" spans="1:16" ht="15">
      <c r="A164" s="72"/>
      <c r="B164" s="70" t="s">
        <v>18</v>
      </c>
      <c r="C164" s="70"/>
      <c r="D164" s="39"/>
      <c r="E164" s="9"/>
      <c r="F164" s="39"/>
      <c r="G164" s="39"/>
      <c r="H164" s="39"/>
      <c r="I164" s="39"/>
      <c r="J164" s="39"/>
      <c r="K164" s="39"/>
      <c r="L164" s="86"/>
      <c r="M164" s="86"/>
      <c r="N164" s="86"/>
      <c r="O164" s="86"/>
      <c r="P164" s="86"/>
    </row>
    <row r="165" spans="1:16" ht="15">
      <c r="A165" s="72">
        <v>7</v>
      </c>
      <c r="B165" s="73" t="s">
        <v>34</v>
      </c>
      <c r="C165" s="73"/>
      <c r="D165" s="40"/>
      <c r="E165" s="10"/>
      <c r="F165" s="40"/>
      <c r="G165" s="40"/>
      <c r="H165" s="40"/>
      <c r="I165" s="40"/>
      <c r="J165" s="40"/>
      <c r="K165" s="40"/>
      <c r="L165" s="86"/>
      <c r="M165" s="86"/>
      <c r="N165" s="86"/>
      <c r="O165" s="86"/>
      <c r="P165" s="86"/>
    </row>
    <row r="166" spans="1:16" ht="15" customHeight="1">
      <c r="A166" s="72"/>
      <c r="B166" s="74" t="s">
        <v>35</v>
      </c>
      <c r="C166" s="74"/>
      <c r="D166" s="67">
        <v>4</v>
      </c>
      <c r="E166" s="8"/>
      <c r="F166" s="67">
        <v>4</v>
      </c>
      <c r="G166" s="67"/>
      <c r="H166" s="67">
        <v>4</v>
      </c>
      <c r="I166" s="67"/>
      <c r="J166" s="67">
        <v>4</v>
      </c>
      <c r="K166" s="67"/>
      <c r="L166" s="86"/>
      <c r="M166" s="86"/>
      <c r="N166" s="86"/>
      <c r="O166" s="86"/>
      <c r="P166" s="86"/>
    </row>
    <row r="167" spans="1:16" ht="15" customHeight="1">
      <c r="A167" s="72"/>
      <c r="B167" s="74" t="s">
        <v>36</v>
      </c>
      <c r="C167" s="74"/>
      <c r="D167" s="67">
        <v>4</v>
      </c>
      <c r="E167" s="8"/>
      <c r="F167" s="67">
        <v>4</v>
      </c>
      <c r="G167" s="67"/>
      <c r="H167" s="67">
        <v>4</v>
      </c>
      <c r="I167" s="67"/>
      <c r="J167" s="67">
        <v>4</v>
      </c>
      <c r="K167" s="67"/>
      <c r="L167" s="86"/>
      <c r="M167" s="86"/>
      <c r="N167" s="86"/>
      <c r="O167" s="86"/>
      <c r="P167" s="86"/>
    </row>
    <row r="168" spans="1:16" ht="15" customHeight="1">
      <c r="A168" s="72"/>
      <c r="B168" s="74" t="s">
        <v>37</v>
      </c>
      <c r="C168" s="74"/>
      <c r="D168" s="67">
        <v>4</v>
      </c>
      <c r="E168" s="8"/>
      <c r="F168" s="67">
        <v>4</v>
      </c>
      <c r="G168" s="67"/>
      <c r="H168" s="67">
        <v>4</v>
      </c>
      <c r="I168" s="67"/>
      <c r="J168" s="67">
        <v>4</v>
      </c>
      <c r="K168" s="67"/>
      <c r="L168" s="86"/>
      <c r="M168" s="86"/>
      <c r="N168" s="86"/>
      <c r="O168" s="86"/>
      <c r="P168" s="86"/>
    </row>
    <row r="169" spans="1:16" ht="15" customHeight="1">
      <c r="A169" s="72"/>
      <c r="B169" s="74" t="s">
        <v>38</v>
      </c>
      <c r="C169" s="74"/>
      <c r="D169" s="67"/>
      <c r="E169" s="8"/>
      <c r="F169" s="67"/>
      <c r="G169" s="67"/>
      <c r="H169" s="67"/>
      <c r="I169" s="67"/>
      <c r="J169" s="67"/>
      <c r="K169" s="67"/>
      <c r="L169" s="86"/>
      <c r="M169" s="86"/>
      <c r="N169" s="86"/>
      <c r="O169" s="86"/>
      <c r="P169" s="86"/>
    </row>
    <row r="170" spans="1:16" ht="15" customHeight="1">
      <c r="A170" s="72"/>
      <c r="B170" s="74" t="s">
        <v>39</v>
      </c>
      <c r="C170" s="74"/>
      <c r="D170" s="67">
        <v>4</v>
      </c>
      <c r="E170" s="8"/>
      <c r="F170" s="67">
        <v>4</v>
      </c>
      <c r="G170" s="67"/>
      <c r="H170" s="67">
        <v>4</v>
      </c>
      <c r="I170" s="67"/>
      <c r="J170" s="67">
        <v>4</v>
      </c>
      <c r="K170" s="67"/>
      <c r="L170" s="86"/>
      <c r="M170" s="86"/>
      <c r="N170" s="86"/>
      <c r="O170" s="86"/>
      <c r="P170" s="86"/>
    </row>
    <row r="171" spans="1:16" ht="15" customHeight="1">
      <c r="A171" s="72"/>
      <c r="B171" s="74" t="s">
        <v>40</v>
      </c>
      <c r="C171" s="74"/>
      <c r="D171" s="67">
        <v>4</v>
      </c>
      <c r="E171" s="8"/>
      <c r="F171" s="67">
        <v>4</v>
      </c>
      <c r="G171" s="67"/>
      <c r="H171" s="67">
        <v>4</v>
      </c>
      <c r="I171" s="67"/>
      <c r="J171" s="67">
        <v>4</v>
      </c>
      <c r="K171" s="67"/>
      <c r="L171" s="86"/>
      <c r="M171" s="86"/>
      <c r="N171" s="86"/>
      <c r="O171" s="86"/>
      <c r="P171" s="86"/>
    </row>
    <row r="172" spans="1:16" ht="15" customHeight="1">
      <c r="A172" s="72"/>
      <c r="B172" s="74" t="s">
        <v>41</v>
      </c>
      <c r="C172" s="74"/>
      <c r="D172" s="67"/>
      <c r="E172" s="8"/>
      <c r="F172" s="67"/>
      <c r="G172" s="67"/>
      <c r="H172" s="67"/>
      <c r="I172" s="67"/>
      <c r="J172" s="67"/>
      <c r="K172" s="67"/>
      <c r="L172" s="86"/>
      <c r="M172" s="86"/>
      <c r="N172" s="86"/>
      <c r="O172" s="86"/>
      <c r="P172" s="86"/>
    </row>
    <row r="173" spans="1:16" ht="15" customHeight="1">
      <c r="A173" s="72"/>
      <c r="B173" s="74" t="s">
        <v>42</v>
      </c>
      <c r="C173" s="74"/>
      <c r="D173" s="67"/>
      <c r="E173" s="8"/>
      <c r="F173" s="67"/>
      <c r="G173" s="67"/>
      <c r="H173" s="67"/>
      <c r="I173" s="67"/>
      <c r="J173" s="67"/>
      <c r="K173" s="67"/>
      <c r="L173" s="86"/>
      <c r="M173" s="86"/>
      <c r="N173" s="86"/>
      <c r="O173" s="86"/>
      <c r="P173" s="86"/>
    </row>
    <row r="174" spans="1:16" ht="15" customHeight="1">
      <c r="A174" s="72"/>
      <c r="B174" s="68" t="s">
        <v>43</v>
      </c>
      <c r="C174" s="69"/>
      <c r="D174" s="67"/>
      <c r="E174" s="8"/>
      <c r="F174" s="67"/>
      <c r="G174" s="67"/>
      <c r="H174" s="67"/>
      <c r="I174" s="67"/>
      <c r="J174" s="67"/>
      <c r="K174" s="67"/>
      <c r="L174" s="86"/>
      <c r="M174" s="86"/>
      <c r="N174" s="86"/>
      <c r="O174" s="86"/>
      <c r="P174" s="86"/>
    </row>
    <row r="175" spans="1:16" ht="15">
      <c r="A175" s="72"/>
      <c r="B175" s="70" t="s">
        <v>18</v>
      </c>
      <c r="C175" s="70"/>
      <c r="D175" s="39"/>
      <c r="E175" s="9"/>
      <c r="F175" s="39"/>
      <c r="G175" s="39"/>
      <c r="H175" s="39"/>
      <c r="I175" s="39"/>
      <c r="J175" s="39"/>
      <c r="K175" s="39"/>
      <c r="L175" s="86"/>
      <c r="M175" s="86"/>
      <c r="N175" s="86"/>
      <c r="O175" s="86"/>
      <c r="P175" s="86"/>
    </row>
    <row r="176" spans="1:16">
      <c r="B176"/>
    </row>
    <row r="177" spans="1:16" ht="15">
      <c r="B177" s="71" t="s">
        <v>44</v>
      </c>
      <c r="C177" s="71"/>
      <c r="D177" s="1">
        <f>SUM(D143:D174)</f>
        <v>72</v>
      </c>
      <c r="E177" s="1">
        <f t="shared" ref="E177:K177" si="9">SUM(E143:E174)</f>
        <v>0</v>
      </c>
      <c r="F177" s="1">
        <f t="shared" si="9"/>
        <v>72</v>
      </c>
      <c r="G177" s="1">
        <f t="shared" si="9"/>
        <v>0</v>
      </c>
      <c r="H177" s="1">
        <f t="shared" si="9"/>
        <v>72</v>
      </c>
      <c r="I177" s="1">
        <f t="shared" si="9"/>
        <v>0</v>
      </c>
      <c r="J177" s="1">
        <f t="shared" si="9"/>
        <v>72</v>
      </c>
      <c r="K177" s="1">
        <f t="shared" si="9"/>
        <v>0</v>
      </c>
      <c r="M177" s="17" t="s">
        <v>2</v>
      </c>
      <c r="N177" s="17" t="s">
        <v>3</v>
      </c>
    </row>
    <row r="178" spans="1:16" ht="15">
      <c r="B178"/>
      <c r="C178" s="64"/>
      <c r="D178" s="1">
        <f>COUNT(D143:D175)*5</f>
        <v>90</v>
      </c>
      <c r="E178" s="1">
        <f t="shared" ref="E178:K178" si="10">COUNT(E143:E175)*5</f>
        <v>0</v>
      </c>
      <c r="F178" s="1">
        <f t="shared" si="10"/>
        <v>90</v>
      </c>
      <c r="G178" s="1">
        <f t="shared" si="10"/>
        <v>0</v>
      </c>
      <c r="H178" s="1">
        <f t="shared" si="10"/>
        <v>90</v>
      </c>
      <c r="I178" s="1">
        <f t="shared" si="10"/>
        <v>0</v>
      </c>
      <c r="J178" s="1">
        <f t="shared" si="10"/>
        <v>90</v>
      </c>
      <c r="K178" s="1">
        <f t="shared" si="10"/>
        <v>0</v>
      </c>
      <c r="M178" s="18">
        <f>(D179+F179+H179+J179)/4</f>
        <v>0.8</v>
      </c>
      <c r="N178" s="18" t="e">
        <f>(E179+G179+I179+K179)/4</f>
        <v>#DIV/0!</v>
      </c>
    </row>
    <row r="179" spans="1:16" ht="15">
      <c r="B179"/>
      <c r="C179" s="2" t="s">
        <v>45</v>
      </c>
      <c r="D179" s="11">
        <f>D177/D178</f>
        <v>0.8</v>
      </c>
      <c r="E179" s="11" t="e">
        <f t="shared" ref="E179:K179" si="11">E177/E178</f>
        <v>#DIV/0!</v>
      </c>
      <c r="F179" s="11">
        <f t="shared" si="11"/>
        <v>0.8</v>
      </c>
      <c r="G179" s="11" t="e">
        <f t="shared" si="11"/>
        <v>#DIV/0!</v>
      </c>
      <c r="H179" s="11">
        <f t="shared" si="11"/>
        <v>0.8</v>
      </c>
      <c r="I179" s="11" t="e">
        <f t="shared" si="11"/>
        <v>#DIV/0!</v>
      </c>
      <c r="J179" s="11">
        <f t="shared" si="11"/>
        <v>0.8</v>
      </c>
      <c r="K179" s="11" t="e">
        <f t="shared" si="11"/>
        <v>#DIV/0!</v>
      </c>
      <c r="L179" s="4"/>
      <c r="M179" s="4"/>
      <c r="N179" s="4"/>
      <c r="O179" s="4"/>
      <c r="P179" s="4"/>
    </row>
    <row r="180" spans="1:16" s="22" customFormat="1"/>
    <row r="181" spans="1:16" ht="18">
      <c r="B181" s="16" t="s">
        <v>49</v>
      </c>
      <c r="C181" s="23" t="s">
        <v>6</v>
      </c>
      <c r="D181" s="75" t="s">
        <v>7</v>
      </c>
      <c r="E181" s="76"/>
      <c r="F181" s="75" t="s">
        <v>8</v>
      </c>
      <c r="G181" s="76"/>
      <c r="H181" s="75" t="s">
        <v>9</v>
      </c>
      <c r="I181" s="76"/>
      <c r="J181" s="75" t="s">
        <v>10</v>
      </c>
      <c r="K181" s="76"/>
    </row>
    <row r="182" spans="1:16" s="1" customFormat="1" ht="15">
      <c r="A182" s="77" t="s">
        <v>11</v>
      </c>
      <c r="B182" s="77" t="s">
        <v>12</v>
      </c>
      <c r="C182" s="6" t="s">
        <v>13</v>
      </c>
      <c r="D182" s="41">
        <v>46145</v>
      </c>
      <c r="E182" s="46"/>
      <c r="F182" s="42">
        <v>46152</v>
      </c>
      <c r="G182" s="42"/>
      <c r="H182" s="42">
        <v>46159</v>
      </c>
      <c r="I182" s="42"/>
      <c r="J182" s="42">
        <v>46166</v>
      </c>
      <c r="K182" s="42"/>
      <c r="L182" s="80" t="s">
        <v>14</v>
      </c>
      <c r="M182" s="81"/>
      <c r="N182" s="81"/>
      <c r="O182" s="81"/>
      <c r="P182" s="81"/>
    </row>
    <row r="183" spans="1:16" s="1" customFormat="1" ht="15">
      <c r="A183" s="78"/>
      <c r="B183" s="78"/>
      <c r="C183" s="6"/>
      <c r="D183" s="7" t="s">
        <v>2</v>
      </c>
      <c r="E183" s="7" t="s">
        <v>15</v>
      </c>
      <c r="F183" s="38" t="s">
        <v>2</v>
      </c>
      <c r="G183" s="38" t="s">
        <v>15</v>
      </c>
      <c r="H183" s="38" t="s">
        <v>2</v>
      </c>
      <c r="I183" s="38" t="s">
        <v>15</v>
      </c>
      <c r="J183" s="38" t="s">
        <v>2</v>
      </c>
      <c r="K183" s="38" t="s">
        <v>15</v>
      </c>
      <c r="L183" s="80"/>
      <c r="M183" s="81"/>
      <c r="N183" s="81"/>
      <c r="O183" s="81"/>
      <c r="P183" s="81"/>
    </row>
    <row r="184" spans="1:16" s="1" customFormat="1" ht="15">
      <c r="A184" s="79"/>
      <c r="B184" s="79"/>
      <c r="C184" s="6" t="s">
        <v>16</v>
      </c>
      <c r="D184" s="45" t="s">
        <v>90</v>
      </c>
      <c r="E184" s="7"/>
      <c r="F184" s="38" t="s">
        <v>90</v>
      </c>
      <c r="G184" s="38"/>
      <c r="H184" s="38" t="s">
        <v>90</v>
      </c>
      <c r="I184" s="38"/>
      <c r="J184" s="38" t="s">
        <v>90</v>
      </c>
      <c r="K184" s="38"/>
      <c r="L184" s="80"/>
      <c r="M184" s="81"/>
      <c r="N184" s="81"/>
      <c r="O184" s="81"/>
      <c r="P184" s="81"/>
    </row>
    <row r="185" spans="1:16" ht="15">
      <c r="A185" s="82">
        <v>1</v>
      </c>
      <c r="B185" s="84" t="s">
        <v>17</v>
      </c>
      <c r="C185" s="85"/>
      <c r="D185" s="67">
        <v>4</v>
      </c>
      <c r="E185" s="65"/>
      <c r="F185" s="67">
        <v>4</v>
      </c>
      <c r="G185" s="67"/>
      <c r="H185" s="67">
        <v>4</v>
      </c>
      <c r="I185" s="67"/>
      <c r="J185" s="67">
        <v>4</v>
      </c>
      <c r="K185" s="67"/>
      <c r="L185" s="86"/>
      <c r="M185" s="86"/>
      <c r="N185" s="86"/>
      <c r="O185" s="86"/>
      <c r="P185" s="86"/>
    </row>
    <row r="186" spans="1:16" ht="15">
      <c r="A186" s="83"/>
      <c r="B186" s="87" t="s">
        <v>18</v>
      </c>
      <c r="C186" s="88"/>
      <c r="D186" s="39"/>
      <c r="E186" s="47"/>
      <c r="F186" s="39"/>
      <c r="G186" s="39"/>
      <c r="H186" s="39"/>
      <c r="I186" s="39"/>
      <c r="J186" s="39"/>
      <c r="K186" s="39"/>
      <c r="L186" s="86"/>
      <c r="M186" s="86"/>
      <c r="N186" s="86"/>
      <c r="O186" s="86"/>
      <c r="P186" s="86"/>
    </row>
    <row r="187" spans="1:16" ht="15">
      <c r="A187" s="72">
        <v>2</v>
      </c>
      <c r="B187" s="73" t="s">
        <v>19</v>
      </c>
      <c r="C187" s="73"/>
      <c r="D187" s="67">
        <v>4</v>
      </c>
      <c r="E187" s="65"/>
      <c r="F187" s="67">
        <v>4</v>
      </c>
      <c r="G187" s="67"/>
      <c r="H187" s="67">
        <v>4</v>
      </c>
      <c r="I187" s="67"/>
      <c r="J187" s="67">
        <v>4</v>
      </c>
      <c r="K187" s="67"/>
      <c r="L187" s="86"/>
      <c r="M187" s="86"/>
      <c r="N187" s="86"/>
      <c r="O187" s="86"/>
      <c r="P187" s="86"/>
    </row>
    <row r="188" spans="1:16" ht="15">
      <c r="A188" s="72"/>
      <c r="B188" s="70" t="s">
        <v>18</v>
      </c>
      <c r="C188" s="70"/>
      <c r="D188" s="39"/>
      <c r="E188" s="47"/>
      <c r="F188" s="39"/>
      <c r="G188" s="39"/>
      <c r="H188" s="39"/>
      <c r="I188" s="39"/>
      <c r="J188" s="39"/>
      <c r="K188" s="39"/>
      <c r="L188" s="86"/>
      <c r="M188" s="86"/>
      <c r="N188" s="86"/>
      <c r="O188" s="86"/>
      <c r="P188" s="86"/>
    </row>
    <row r="189" spans="1:16" ht="15">
      <c r="A189" s="72">
        <v>3</v>
      </c>
      <c r="B189" s="73" t="s">
        <v>20</v>
      </c>
      <c r="C189" s="73"/>
      <c r="D189" s="40"/>
      <c r="E189" s="48"/>
      <c r="F189" s="40"/>
      <c r="G189" s="40"/>
      <c r="H189" s="40"/>
      <c r="I189" s="40"/>
      <c r="J189" s="40"/>
      <c r="K189" s="40"/>
      <c r="L189" s="86"/>
      <c r="M189" s="86"/>
      <c r="N189" s="86"/>
      <c r="O189" s="86"/>
      <c r="P189" s="86"/>
    </row>
    <row r="190" spans="1:16" ht="15" customHeight="1">
      <c r="A190" s="72"/>
      <c r="B190" s="74" t="s">
        <v>21</v>
      </c>
      <c r="C190" s="74"/>
      <c r="D190" s="67">
        <v>4</v>
      </c>
      <c r="E190" s="65"/>
      <c r="F190" s="67">
        <v>4</v>
      </c>
      <c r="G190" s="67"/>
      <c r="H190" s="67">
        <v>4</v>
      </c>
      <c r="I190" s="67"/>
      <c r="J190" s="67">
        <v>4</v>
      </c>
      <c r="K190" s="67"/>
      <c r="L190" s="86"/>
      <c r="M190" s="86"/>
      <c r="N190" s="86"/>
      <c r="O190" s="86"/>
      <c r="P190" s="86"/>
    </row>
    <row r="191" spans="1:16" ht="15" customHeight="1">
      <c r="A191" s="72"/>
      <c r="B191" s="74" t="s">
        <v>22</v>
      </c>
      <c r="C191" s="74"/>
      <c r="D191" s="67">
        <v>4</v>
      </c>
      <c r="E191" s="65"/>
      <c r="F191" s="67">
        <v>4</v>
      </c>
      <c r="G191" s="67"/>
      <c r="H191" s="67">
        <v>4</v>
      </c>
      <c r="I191" s="67"/>
      <c r="J191" s="67">
        <v>4</v>
      </c>
      <c r="K191" s="67"/>
      <c r="L191" s="86"/>
      <c r="M191" s="86"/>
      <c r="N191" s="86"/>
      <c r="O191" s="86"/>
      <c r="P191" s="86"/>
    </row>
    <row r="192" spans="1:16" ht="15" customHeight="1">
      <c r="A192" s="72"/>
      <c r="B192" s="74" t="s">
        <v>23</v>
      </c>
      <c r="C192" s="74"/>
      <c r="D192" s="67">
        <v>4</v>
      </c>
      <c r="E192" s="65"/>
      <c r="F192" s="67">
        <v>4</v>
      </c>
      <c r="G192" s="67"/>
      <c r="H192" s="67">
        <v>4</v>
      </c>
      <c r="I192" s="67"/>
      <c r="J192" s="67">
        <v>4</v>
      </c>
      <c r="K192" s="67"/>
      <c r="L192" s="86"/>
      <c r="M192" s="86"/>
      <c r="N192" s="86"/>
      <c r="O192" s="86"/>
      <c r="P192" s="86"/>
    </row>
    <row r="193" spans="1:16" ht="15">
      <c r="A193" s="72"/>
      <c r="B193" s="70" t="s">
        <v>18</v>
      </c>
      <c r="C193" s="70"/>
      <c r="D193" s="39"/>
      <c r="E193" s="47"/>
      <c r="F193" s="39"/>
      <c r="G193" s="39"/>
      <c r="H193" s="39"/>
      <c r="I193" s="39"/>
      <c r="J193" s="39"/>
      <c r="K193" s="39"/>
      <c r="L193" s="86"/>
      <c r="M193" s="86"/>
      <c r="N193" s="86"/>
      <c r="O193" s="86"/>
      <c r="P193" s="86"/>
    </row>
    <row r="194" spans="1:16" ht="15">
      <c r="A194" s="72">
        <v>4</v>
      </c>
      <c r="B194" s="73" t="s">
        <v>24</v>
      </c>
      <c r="C194" s="73"/>
      <c r="D194" s="40"/>
      <c r="E194" s="48"/>
      <c r="F194" s="40"/>
      <c r="G194" s="40"/>
      <c r="H194" s="40"/>
      <c r="I194" s="40"/>
      <c r="J194" s="40"/>
      <c r="K194" s="40"/>
      <c r="L194" s="86"/>
      <c r="M194" s="86"/>
      <c r="N194" s="86"/>
      <c r="O194" s="86"/>
      <c r="P194" s="86"/>
    </row>
    <row r="195" spans="1:16" ht="15" customHeight="1">
      <c r="A195" s="72"/>
      <c r="B195" s="74" t="s">
        <v>25</v>
      </c>
      <c r="C195" s="74"/>
      <c r="D195" s="67">
        <v>4</v>
      </c>
      <c r="E195" s="65"/>
      <c r="F195" s="67">
        <v>4</v>
      </c>
      <c r="G195" s="67"/>
      <c r="H195" s="67">
        <v>4</v>
      </c>
      <c r="I195" s="67"/>
      <c r="J195" s="67">
        <v>4</v>
      </c>
      <c r="K195" s="67"/>
      <c r="L195" s="86"/>
      <c r="M195" s="86"/>
      <c r="N195" s="86"/>
      <c r="O195" s="86"/>
      <c r="P195" s="86"/>
    </row>
    <row r="196" spans="1:16" ht="15" customHeight="1">
      <c r="A196" s="72"/>
      <c r="B196" s="74" t="s">
        <v>26</v>
      </c>
      <c r="C196" s="74"/>
      <c r="D196" s="67">
        <v>4</v>
      </c>
      <c r="E196" s="65"/>
      <c r="F196" s="67">
        <v>4</v>
      </c>
      <c r="G196" s="67"/>
      <c r="H196" s="67">
        <v>4</v>
      </c>
      <c r="I196" s="67"/>
      <c r="J196" s="67">
        <v>4</v>
      </c>
      <c r="K196" s="67"/>
      <c r="L196" s="86"/>
      <c r="M196" s="86"/>
      <c r="N196" s="86"/>
      <c r="O196" s="86"/>
      <c r="P196" s="86"/>
    </row>
    <row r="197" spans="1:16" ht="15">
      <c r="A197" s="72"/>
      <c r="B197" s="70" t="s">
        <v>18</v>
      </c>
      <c r="C197" s="70"/>
      <c r="D197" s="39"/>
      <c r="E197" s="47"/>
      <c r="F197" s="39"/>
      <c r="G197" s="39"/>
      <c r="H197" s="39"/>
      <c r="I197" s="39"/>
      <c r="J197" s="39"/>
      <c r="K197" s="39"/>
      <c r="L197" s="86"/>
      <c r="M197" s="86"/>
      <c r="N197" s="86"/>
      <c r="O197" s="86"/>
      <c r="P197" s="86"/>
    </row>
    <row r="198" spans="1:16" ht="15">
      <c r="A198" s="72">
        <v>5</v>
      </c>
      <c r="B198" s="73" t="s">
        <v>27</v>
      </c>
      <c r="C198" s="73"/>
      <c r="D198" s="67">
        <v>4</v>
      </c>
      <c r="E198" s="65"/>
      <c r="F198" s="67">
        <v>4</v>
      </c>
      <c r="G198" s="67"/>
      <c r="H198" s="67">
        <v>4</v>
      </c>
      <c r="I198" s="67"/>
      <c r="J198" s="67">
        <v>4</v>
      </c>
      <c r="K198" s="67"/>
      <c r="L198" s="86"/>
      <c r="M198" s="86"/>
      <c r="N198" s="86"/>
      <c r="O198" s="86"/>
      <c r="P198" s="86"/>
    </row>
    <row r="199" spans="1:16" ht="15">
      <c r="A199" s="72"/>
      <c r="B199" s="70" t="s">
        <v>18</v>
      </c>
      <c r="C199" s="70"/>
      <c r="D199" s="39"/>
      <c r="E199" s="47"/>
      <c r="F199" s="39"/>
      <c r="G199" s="39"/>
      <c r="H199" s="39"/>
      <c r="I199" s="39"/>
      <c r="J199" s="39"/>
      <c r="K199" s="39"/>
      <c r="L199" s="86"/>
      <c r="M199" s="86"/>
      <c r="N199" s="86"/>
      <c r="O199" s="86"/>
      <c r="P199" s="86"/>
    </row>
    <row r="200" spans="1:16" ht="15">
      <c r="A200" s="72">
        <v>6</v>
      </c>
      <c r="B200" s="73" t="s">
        <v>28</v>
      </c>
      <c r="C200" s="73"/>
      <c r="D200" s="40"/>
      <c r="E200" s="48"/>
      <c r="F200" s="40"/>
      <c r="G200" s="40"/>
      <c r="H200" s="40"/>
      <c r="I200" s="40"/>
      <c r="J200" s="40"/>
      <c r="K200" s="40"/>
      <c r="L200" s="86"/>
      <c r="M200" s="86"/>
      <c r="N200" s="86"/>
      <c r="O200" s="86"/>
      <c r="P200" s="86"/>
    </row>
    <row r="201" spans="1:16" ht="15" customHeight="1">
      <c r="A201" s="72"/>
      <c r="B201" s="74" t="s">
        <v>29</v>
      </c>
      <c r="C201" s="74"/>
      <c r="D201" s="67">
        <v>4</v>
      </c>
      <c r="E201" s="65"/>
      <c r="F201" s="67">
        <v>4</v>
      </c>
      <c r="G201" s="67"/>
      <c r="H201" s="67">
        <v>4</v>
      </c>
      <c r="I201" s="67"/>
      <c r="J201" s="67">
        <v>4</v>
      </c>
      <c r="K201" s="67"/>
      <c r="L201" s="86"/>
      <c r="M201" s="86"/>
      <c r="N201" s="86"/>
      <c r="O201" s="86"/>
      <c r="P201" s="86"/>
    </row>
    <row r="202" spans="1:16" ht="15" customHeight="1">
      <c r="A202" s="72"/>
      <c r="B202" s="74" t="s">
        <v>30</v>
      </c>
      <c r="C202" s="74"/>
      <c r="D202" s="67">
        <v>4</v>
      </c>
      <c r="E202" s="65"/>
      <c r="F202" s="67">
        <v>4</v>
      </c>
      <c r="G202" s="67"/>
      <c r="H202" s="67">
        <v>4</v>
      </c>
      <c r="I202" s="67"/>
      <c r="J202" s="67">
        <v>4</v>
      </c>
      <c r="K202" s="67"/>
      <c r="L202" s="86"/>
      <c r="M202" s="86"/>
      <c r="N202" s="86"/>
      <c r="O202" s="86"/>
      <c r="P202" s="86"/>
    </row>
    <row r="203" spans="1:16" ht="15" customHeight="1">
      <c r="A203" s="72"/>
      <c r="B203" s="74" t="s">
        <v>31</v>
      </c>
      <c r="C203" s="74"/>
      <c r="D203" s="67">
        <v>4</v>
      </c>
      <c r="E203" s="65"/>
      <c r="F203" s="67">
        <v>4</v>
      </c>
      <c r="G203" s="67"/>
      <c r="H203" s="67">
        <v>4</v>
      </c>
      <c r="I203" s="67"/>
      <c r="J203" s="67">
        <v>4</v>
      </c>
      <c r="K203" s="67"/>
      <c r="L203" s="86"/>
      <c r="M203" s="86"/>
      <c r="N203" s="86"/>
      <c r="O203" s="86"/>
      <c r="P203" s="86"/>
    </row>
    <row r="204" spans="1:16" ht="15" customHeight="1">
      <c r="A204" s="72"/>
      <c r="B204" s="74" t="s">
        <v>32</v>
      </c>
      <c r="C204" s="74"/>
      <c r="D204" s="67">
        <v>4</v>
      </c>
      <c r="E204" s="65"/>
      <c r="F204" s="67">
        <v>4</v>
      </c>
      <c r="G204" s="67"/>
      <c r="H204" s="67">
        <v>4</v>
      </c>
      <c r="I204" s="67"/>
      <c r="J204" s="67">
        <v>4</v>
      </c>
      <c r="K204" s="67"/>
      <c r="L204" s="86"/>
      <c r="M204" s="86"/>
      <c r="N204" s="86"/>
      <c r="O204" s="86"/>
      <c r="P204" s="86"/>
    </row>
    <row r="205" spans="1:16" ht="15" customHeight="1">
      <c r="A205" s="72"/>
      <c r="B205" s="74" t="s">
        <v>33</v>
      </c>
      <c r="C205" s="74"/>
      <c r="D205" s="67">
        <v>4</v>
      </c>
      <c r="E205" s="65"/>
      <c r="F205" s="67">
        <v>4</v>
      </c>
      <c r="G205" s="67"/>
      <c r="H205" s="67">
        <v>4</v>
      </c>
      <c r="I205" s="67"/>
      <c r="J205" s="67">
        <v>4</v>
      </c>
      <c r="K205" s="67"/>
      <c r="L205" s="86"/>
      <c r="M205" s="86"/>
      <c r="N205" s="86"/>
      <c r="O205" s="86"/>
      <c r="P205" s="86"/>
    </row>
    <row r="206" spans="1:16" ht="15">
      <c r="A206" s="72"/>
      <c r="B206" s="70" t="s">
        <v>18</v>
      </c>
      <c r="C206" s="70"/>
      <c r="D206" s="39"/>
      <c r="E206" s="47"/>
      <c r="F206" s="39"/>
      <c r="G206" s="39"/>
      <c r="H206" s="39"/>
      <c r="I206" s="39"/>
      <c r="J206" s="39"/>
      <c r="K206" s="39"/>
      <c r="L206" s="86"/>
      <c r="M206" s="86"/>
      <c r="N206" s="86"/>
      <c r="O206" s="86"/>
      <c r="P206" s="86"/>
    </row>
    <row r="207" spans="1:16" ht="15">
      <c r="A207" s="72">
        <v>7</v>
      </c>
      <c r="B207" s="73" t="s">
        <v>34</v>
      </c>
      <c r="C207" s="73"/>
      <c r="D207" s="40"/>
      <c r="E207" s="48"/>
      <c r="F207" s="40"/>
      <c r="G207" s="40"/>
      <c r="H207" s="40"/>
      <c r="I207" s="40"/>
      <c r="J207" s="40"/>
      <c r="K207" s="40"/>
      <c r="L207" s="86"/>
      <c r="M207" s="86"/>
      <c r="N207" s="86"/>
      <c r="O207" s="86"/>
      <c r="P207" s="86"/>
    </row>
    <row r="208" spans="1:16" ht="15" customHeight="1">
      <c r="A208" s="72"/>
      <c r="B208" s="74" t="s">
        <v>35</v>
      </c>
      <c r="C208" s="74"/>
      <c r="D208" s="67">
        <v>4</v>
      </c>
      <c r="E208" s="65"/>
      <c r="F208" s="67">
        <v>4</v>
      </c>
      <c r="G208" s="67"/>
      <c r="H208" s="67">
        <v>4</v>
      </c>
      <c r="I208" s="67"/>
      <c r="J208" s="67">
        <v>4</v>
      </c>
      <c r="K208" s="67"/>
      <c r="L208" s="86"/>
      <c r="M208" s="86"/>
      <c r="N208" s="86"/>
      <c r="O208" s="86"/>
      <c r="P208" s="86"/>
    </row>
    <row r="209" spans="1:16" ht="15" customHeight="1">
      <c r="A209" s="72"/>
      <c r="B209" s="74" t="s">
        <v>36</v>
      </c>
      <c r="C209" s="74"/>
      <c r="D209" s="67">
        <v>4</v>
      </c>
      <c r="E209" s="65"/>
      <c r="F209" s="67">
        <v>4</v>
      </c>
      <c r="G209" s="67"/>
      <c r="H209" s="67">
        <v>4</v>
      </c>
      <c r="I209" s="67"/>
      <c r="J209" s="67">
        <v>4</v>
      </c>
      <c r="K209" s="67"/>
      <c r="L209" s="86"/>
      <c r="M209" s="86"/>
      <c r="N209" s="86"/>
      <c r="O209" s="86"/>
      <c r="P209" s="86"/>
    </row>
    <row r="210" spans="1:16" ht="15" customHeight="1">
      <c r="A210" s="72"/>
      <c r="B210" s="74" t="s">
        <v>37</v>
      </c>
      <c r="C210" s="74"/>
      <c r="D210" s="67">
        <v>4</v>
      </c>
      <c r="E210" s="65"/>
      <c r="F210" s="67">
        <v>4</v>
      </c>
      <c r="G210" s="67"/>
      <c r="H210" s="67">
        <v>4</v>
      </c>
      <c r="I210" s="67"/>
      <c r="J210" s="67">
        <v>4</v>
      </c>
      <c r="K210" s="67"/>
      <c r="L210" s="86"/>
      <c r="M210" s="86"/>
      <c r="N210" s="86"/>
      <c r="O210" s="86"/>
      <c r="P210" s="86"/>
    </row>
    <row r="211" spans="1:16" ht="15" customHeight="1">
      <c r="A211" s="72"/>
      <c r="B211" s="74" t="s">
        <v>38</v>
      </c>
      <c r="C211" s="74"/>
      <c r="D211" s="67"/>
      <c r="E211" s="65"/>
      <c r="F211" s="67"/>
      <c r="G211" s="67"/>
      <c r="H211" s="67"/>
      <c r="I211" s="67"/>
      <c r="J211" s="67"/>
      <c r="K211" s="67"/>
      <c r="L211" s="86"/>
      <c r="M211" s="86"/>
      <c r="N211" s="86"/>
      <c r="O211" s="86"/>
      <c r="P211" s="86"/>
    </row>
    <row r="212" spans="1:16" ht="15" customHeight="1">
      <c r="A212" s="72"/>
      <c r="B212" s="74" t="s">
        <v>39</v>
      </c>
      <c r="C212" s="74"/>
      <c r="D212" s="67">
        <v>4</v>
      </c>
      <c r="E212" s="65"/>
      <c r="F212" s="67">
        <v>4</v>
      </c>
      <c r="G212" s="67"/>
      <c r="H212" s="67">
        <v>4</v>
      </c>
      <c r="I212" s="67"/>
      <c r="J212" s="67">
        <v>4</v>
      </c>
      <c r="K212" s="67"/>
      <c r="L212" s="86"/>
      <c r="M212" s="86"/>
      <c r="N212" s="86"/>
      <c r="O212" s="86"/>
      <c r="P212" s="86"/>
    </row>
    <row r="213" spans="1:16" ht="15" customHeight="1">
      <c r="A213" s="72"/>
      <c r="B213" s="74" t="s">
        <v>40</v>
      </c>
      <c r="C213" s="74"/>
      <c r="D213" s="67">
        <v>4</v>
      </c>
      <c r="E213" s="65"/>
      <c r="F213" s="67">
        <v>4</v>
      </c>
      <c r="G213" s="67"/>
      <c r="H213" s="67">
        <v>4</v>
      </c>
      <c r="I213" s="67"/>
      <c r="J213" s="67">
        <v>4</v>
      </c>
      <c r="K213" s="67"/>
      <c r="L213" s="86"/>
      <c r="M213" s="86"/>
      <c r="N213" s="86"/>
      <c r="O213" s="86"/>
      <c r="P213" s="86"/>
    </row>
    <row r="214" spans="1:16" ht="15" customHeight="1">
      <c r="A214" s="72"/>
      <c r="B214" s="74" t="s">
        <v>41</v>
      </c>
      <c r="C214" s="74"/>
      <c r="D214" s="67"/>
      <c r="E214" s="65"/>
      <c r="F214" s="67"/>
      <c r="G214" s="67"/>
      <c r="H214" s="67"/>
      <c r="I214" s="67"/>
      <c r="J214" s="67"/>
      <c r="K214" s="67"/>
      <c r="L214" s="86"/>
      <c r="M214" s="86"/>
      <c r="N214" s="86"/>
      <c r="O214" s="86"/>
      <c r="P214" s="86"/>
    </row>
    <row r="215" spans="1:16" ht="15" customHeight="1">
      <c r="A215" s="72"/>
      <c r="B215" s="74" t="s">
        <v>42</v>
      </c>
      <c r="C215" s="74"/>
      <c r="D215" s="67"/>
      <c r="E215" s="65"/>
      <c r="F215" s="67"/>
      <c r="G215" s="67"/>
      <c r="H215" s="67"/>
      <c r="I215" s="67"/>
      <c r="J215" s="67"/>
      <c r="K215" s="67"/>
      <c r="L215" s="86"/>
      <c r="M215" s="86"/>
      <c r="N215" s="86"/>
      <c r="O215" s="86"/>
      <c r="P215" s="86"/>
    </row>
    <row r="216" spans="1:16" ht="15" customHeight="1">
      <c r="A216" s="72"/>
      <c r="B216" s="68" t="s">
        <v>43</v>
      </c>
      <c r="C216" s="69"/>
      <c r="D216" s="67"/>
      <c r="E216" s="65"/>
      <c r="F216" s="67"/>
      <c r="G216" s="67"/>
      <c r="H216" s="67"/>
      <c r="I216" s="67"/>
      <c r="J216" s="67"/>
      <c r="K216" s="67"/>
      <c r="L216" s="86"/>
      <c r="M216" s="86"/>
      <c r="N216" s="86"/>
      <c r="O216" s="86"/>
      <c r="P216" s="86"/>
    </row>
    <row r="217" spans="1:16" ht="15">
      <c r="A217" s="72"/>
      <c r="B217" s="70" t="s">
        <v>18</v>
      </c>
      <c r="C217" s="70"/>
      <c r="D217" s="39"/>
      <c r="E217" s="47"/>
      <c r="F217" s="39"/>
      <c r="G217" s="39"/>
      <c r="H217" s="39"/>
      <c r="I217" s="39"/>
      <c r="J217" s="39"/>
      <c r="K217" s="39"/>
      <c r="L217" s="86"/>
      <c r="M217" s="86"/>
      <c r="N217" s="86"/>
      <c r="O217" s="86"/>
      <c r="P217" s="86"/>
    </row>
    <row r="218" spans="1:16">
      <c r="B218"/>
    </row>
    <row r="219" spans="1:16" ht="15">
      <c r="B219" s="71" t="s">
        <v>44</v>
      </c>
      <c r="C219" s="71"/>
      <c r="D219" s="1">
        <f>SUM(D185:D216)</f>
        <v>72</v>
      </c>
      <c r="E219" s="1">
        <f t="shared" ref="E219:K219" si="12">SUM(E185:E216)</f>
        <v>0</v>
      </c>
      <c r="F219" s="1">
        <f t="shared" si="12"/>
        <v>72</v>
      </c>
      <c r="G219" s="1">
        <f t="shared" si="12"/>
        <v>0</v>
      </c>
      <c r="H219" s="1">
        <f t="shared" si="12"/>
        <v>72</v>
      </c>
      <c r="I219" s="1">
        <f t="shared" si="12"/>
        <v>0</v>
      </c>
      <c r="J219" s="1">
        <f t="shared" si="12"/>
        <v>72</v>
      </c>
      <c r="K219" s="1">
        <f t="shared" si="12"/>
        <v>0</v>
      </c>
      <c r="M219" s="17" t="s">
        <v>2</v>
      </c>
      <c r="N219" s="17" t="s">
        <v>3</v>
      </c>
    </row>
    <row r="220" spans="1:16" ht="15">
      <c r="B220"/>
      <c r="C220" s="64"/>
      <c r="D220" s="1">
        <f>COUNT(D185:D217)*5</f>
        <v>90</v>
      </c>
      <c r="E220" s="1">
        <f t="shared" ref="E220:K220" si="13">COUNT(E185:E217)*5</f>
        <v>0</v>
      </c>
      <c r="F220" s="1">
        <f t="shared" si="13"/>
        <v>90</v>
      </c>
      <c r="G220" s="1">
        <f t="shared" si="13"/>
        <v>0</v>
      </c>
      <c r="H220" s="1">
        <f t="shared" si="13"/>
        <v>90</v>
      </c>
      <c r="I220" s="1">
        <f t="shared" si="13"/>
        <v>0</v>
      </c>
      <c r="J220" s="1">
        <f t="shared" si="13"/>
        <v>90</v>
      </c>
      <c r="K220" s="1">
        <f t="shared" si="13"/>
        <v>0</v>
      </c>
      <c r="M220" s="18">
        <f>(D221+F221+H221+J221)/4</f>
        <v>0.8</v>
      </c>
      <c r="N220" s="18" t="e">
        <f>(E221+G221+I221+K221)/4</f>
        <v>#DIV/0!</v>
      </c>
    </row>
    <row r="221" spans="1:16" ht="15">
      <c r="B221"/>
      <c r="C221" s="2" t="s">
        <v>45</v>
      </c>
      <c r="D221" s="11">
        <f>D219/D220</f>
        <v>0.8</v>
      </c>
      <c r="E221" s="11" t="e">
        <f t="shared" ref="E221:K221" si="14">E219/E220</f>
        <v>#DIV/0!</v>
      </c>
      <c r="F221" s="11">
        <f t="shared" si="14"/>
        <v>0.8</v>
      </c>
      <c r="G221" s="11" t="e">
        <f t="shared" si="14"/>
        <v>#DIV/0!</v>
      </c>
      <c r="H221" s="11">
        <f t="shared" si="14"/>
        <v>0.8</v>
      </c>
      <c r="I221" s="11" t="e">
        <f t="shared" si="14"/>
        <v>#DIV/0!</v>
      </c>
      <c r="J221" s="11">
        <f t="shared" si="14"/>
        <v>0.8</v>
      </c>
      <c r="K221" s="11" t="e">
        <f t="shared" si="14"/>
        <v>#DIV/0!</v>
      </c>
      <c r="L221" s="4"/>
      <c r="M221" s="4"/>
      <c r="N221" s="4"/>
      <c r="O221" s="4"/>
      <c r="P221" s="4"/>
    </row>
    <row r="222" spans="1:16" s="22" customFormat="1"/>
    <row r="223" spans="1:16" ht="18">
      <c r="B223" s="16" t="s">
        <v>50</v>
      </c>
      <c r="C223" s="23" t="s">
        <v>6</v>
      </c>
      <c r="D223" s="75" t="s">
        <v>7</v>
      </c>
      <c r="E223" s="76"/>
      <c r="F223" s="75" t="s">
        <v>8</v>
      </c>
      <c r="G223" s="76"/>
      <c r="H223" s="75" t="s">
        <v>9</v>
      </c>
      <c r="I223" s="76"/>
      <c r="J223" s="75" t="s">
        <v>10</v>
      </c>
      <c r="K223" s="76"/>
    </row>
    <row r="224" spans="1:16" s="1" customFormat="1" ht="15">
      <c r="A224" s="77" t="s">
        <v>11</v>
      </c>
      <c r="B224" s="77" t="s">
        <v>12</v>
      </c>
      <c r="C224" s="6" t="s">
        <v>13</v>
      </c>
      <c r="D224" s="41">
        <v>46180</v>
      </c>
      <c r="E224" s="29"/>
      <c r="F224" s="29">
        <v>46187</v>
      </c>
      <c r="G224" s="29"/>
      <c r="H224" s="29">
        <v>46194</v>
      </c>
      <c r="I224" s="29"/>
      <c r="J224" s="29">
        <v>46201</v>
      </c>
      <c r="K224" s="29"/>
      <c r="L224" s="80" t="s">
        <v>14</v>
      </c>
      <c r="M224" s="81"/>
      <c r="N224" s="81"/>
      <c r="O224" s="81"/>
      <c r="P224" s="81"/>
    </row>
    <row r="225" spans="1:16" s="1" customFormat="1" ht="15">
      <c r="A225" s="78"/>
      <c r="B225" s="78"/>
      <c r="C225" s="6"/>
      <c r="D225" s="7" t="s">
        <v>2</v>
      </c>
      <c r="E225" s="7" t="s">
        <v>15</v>
      </c>
      <c r="F225" s="7" t="s">
        <v>2</v>
      </c>
      <c r="G225" s="7" t="s">
        <v>15</v>
      </c>
      <c r="H225" s="7" t="s">
        <v>2</v>
      </c>
      <c r="I225" s="7" t="s">
        <v>15</v>
      </c>
      <c r="J225" s="7" t="s">
        <v>2</v>
      </c>
      <c r="K225" s="7" t="s">
        <v>15</v>
      </c>
      <c r="L225" s="80"/>
      <c r="M225" s="81"/>
      <c r="N225" s="81"/>
      <c r="O225" s="81"/>
      <c r="P225" s="81"/>
    </row>
    <row r="226" spans="1:16" s="1" customFormat="1" ht="15">
      <c r="A226" s="79"/>
      <c r="B226" s="79"/>
      <c r="C226" s="6" t="s">
        <v>16</v>
      </c>
      <c r="D226" s="38" t="s">
        <v>90</v>
      </c>
      <c r="E226" s="7"/>
      <c r="F226" s="7" t="s">
        <v>90</v>
      </c>
      <c r="G226" s="7"/>
      <c r="H226" s="7" t="s">
        <v>90</v>
      </c>
      <c r="I226" s="7"/>
      <c r="J226" s="7" t="s">
        <v>90</v>
      </c>
      <c r="K226" s="7"/>
      <c r="L226" s="80"/>
      <c r="M226" s="81"/>
      <c r="N226" s="81"/>
      <c r="O226" s="81"/>
      <c r="P226" s="81"/>
    </row>
    <row r="227" spans="1:16" ht="15">
      <c r="A227" s="82">
        <v>1</v>
      </c>
      <c r="B227" s="84" t="s">
        <v>17</v>
      </c>
      <c r="C227" s="85"/>
      <c r="D227" s="67">
        <v>4</v>
      </c>
      <c r="E227" s="65"/>
      <c r="F227" s="65">
        <v>4</v>
      </c>
      <c r="G227" s="65"/>
      <c r="H227" s="65">
        <v>4</v>
      </c>
      <c r="I227" s="65"/>
      <c r="J227" s="65">
        <v>4</v>
      </c>
      <c r="K227" s="65"/>
      <c r="L227" s="86"/>
      <c r="M227" s="86"/>
      <c r="N227" s="86"/>
      <c r="O227" s="86"/>
      <c r="P227" s="86"/>
    </row>
    <row r="228" spans="1:16" ht="15">
      <c r="A228" s="83"/>
      <c r="B228" s="87" t="s">
        <v>18</v>
      </c>
      <c r="C228" s="88"/>
      <c r="D228" s="39"/>
      <c r="E228" s="47"/>
      <c r="F228" s="47"/>
      <c r="G228" s="47"/>
      <c r="H228" s="47"/>
      <c r="I228" s="47"/>
      <c r="J228" s="47"/>
      <c r="K228" s="47"/>
      <c r="L228" s="86"/>
      <c r="M228" s="86"/>
      <c r="N228" s="86"/>
      <c r="O228" s="86"/>
      <c r="P228" s="86"/>
    </row>
    <row r="229" spans="1:16" ht="15">
      <c r="A229" s="72">
        <v>2</v>
      </c>
      <c r="B229" s="73" t="s">
        <v>19</v>
      </c>
      <c r="C229" s="73"/>
      <c r="D229" s="67">
        <v>4</v>
      </c>
      <c r="E229" s="65"/>
      <c r="F229" s="65">
        <v>4</v>
      </c>
      <c r="G229" s="65"/>
      <c r="H229" s="65">
        <v>4</v>
      </c>
      <c r="I229" s="65"/>
      <c r="J229" s="65">
        <v>4</v>
      </c>
      <c r="K229" s="65"/>
      <c r="L229" s="86"/>
      <c r="M229" s="86"/>
      <c r="N229" s="86"/>
      <c r="O229" s="86"/>
      <c r="P229" s="86"/>
    </row>
    <row r="230" spans="1:16" ht="15">
      <c r="A230" s="72"/>
      <c r="B230" s="70" t="s">
        <v>18</v>
      </c>
      <c r="C230" s="70"/>
      <c r="D230" s="39"/>
      <c r="E230" s="47"/>
      <c r="F230" s="47"/>
      <c r="G230" s="47"/>
      <c r="H230" s="47"/>
      <c r="I230" s="47"/>
      <c r="J230" s="47"/>
      <c r="K230" s="47"/>
      <c r="L230" s="86"/>
      <c r="M230" s="86"/>
      <c r="N230" s="86"/>
      <c r="O230" s="86"/>
      <c r="P230" s="86"/>
    </row>
    <row r="231" spans="1:16" ht="15">
      <c r="A231" s="72">
        <v>3</v>
      </c>
      <c r="B231" s="73" t="s">
        <v>20</v>
      </c>
      <c r="C231" s="73"/>
      <c r="D231" s="40"/>
      <c r="E231" s="48"/>
      <c r="F231" s="48"/>
      <c r="G231" s="48"/>
      <c r="H231" s="48"/>
      <c r="I231" s="48"/>
      <c r="J231" s="48"/>
      <c r="K231" s="48"/>
      <c r="L231" s="86"/>
      <c r="M231" s="86"/>
      <c r="N231" s="86"/>
      <c r="O231" s="86"/>
      <c r="P231" s="86"/>
    </row>
    <row r="232" spans="1:16" ht="15" customHeight="1">
      <c r="A232" s="72"/>
      <c r="B232" s="74" t="s">
        <v>21</v>
      </c>
      <c r="C232" s="74"/>
      <c r="D232" s="67">
        <v>4</v>
      </c>
      <c r="E232" s="65"/>
      <c r="F232" s="65">
        <v>4</v>
      </c>
      <c r="G232" s="65"/>
      <c r="H232" s="65">
        <v>4</v>
      </c>
      <c r="I232" s="65"/>
      <c r="J232" s="65">
        <v>4</v>
      </c>
      <c r="K232" s="65"/>
      <c r="L232" s="86"/>
      <c r="M232" s="86"/>
      <c r="N232" s="86"/>
      <c r="O232" s="86"/>
      <c r="P232" s="86"/>
    </row>
    <row r="233" spans="1:16" ht="15" customHeight="1">
      <c r="A233" s="72"/>
      <c r="B233" s="74" t="s">
        <v>22</v>
      </c>
      <c r="C233" s="74"/>
      <c r="D233" s="67">
        <v>4</v>
      </c>
      <c r="E233" s="65"/>
      <c r="F233" s="65">
        <v>4</v>
      </c>
      <c r="G233" s="65"/>
      <c r="H233" s="65">
        <v>4</v>
      </c>
      <c r="I233" s="65"/>
      <c r="J233" s="65">
        <v>4</v>
      </c>
      <c r="K233" s="65"/>
      <c r="L233" s="86"/>
      <c r="M233" s="86"/>
      <c r="N233" s="86"/>
      <c r="O233" s="86"/>
      <c r="P233" s="86"/>
    </row>
    <row r="234" spans="1:16" ht="15" customHeight="1">
      <c r="A234" s="72"/>
      <c r="B234" s="74" t="s">
        <v>23</v>
      </c>
      <c r="C234" s="74"/>
      <c r="D234" s="67">
        <v>4</v>
      </c>
      <c r="E234" s="65"/>
      <c r="F234" s="65">
        <v>4</v>
      </c>
      <c r="G234" s="65"/>
      <c r="H234" s="65">
        <v>4</v>
      </c>
      <c r="I234" s="65"/>
      <c r="J234" s="65">
        <v>4</v>
      </c>
      <c r="K234" s="65"/>
      <c r="L234" s="86"/>
      <c r="M234" s="86"/>
      <c r="N234" s="86"/>
      <c r="O234" s="86"/>
      <c r="P234" s="86"/>
    </row>
    <row r="235" spans="1:16" ht="15">
      <c r="A235" s="72"/>
      <c r="B235" s="70" t="s">
        <v>18</v>
      </c>
      <c r="C235" s="70"/>
      <c r="D235" s="39"/>
      <c r="E235" s="47"/>
      <c r="F235" s="47"/>
      <c r="G235" s="47"/>
      <c r="H235" s="47"/>
      <c r="I235" s="47"/>
      <c r="J235" s="47"/>
      <c r="K235" s="47"/>
      <c r="L235" s="86"/>
      <c r="M235" s="86"/>
      <c r="N235" s="86"/>
      <c r="O235" s="86"/>
      <c r="P235" s="86"/>
    </row>
    <row r="236" spans="1:16" ht="15">
      <c r="A236" s="72">
        <v>4</v>
      </c>
      <c r="B236" s="73" t="s">
        <v>24</v>
      </c>
      <c r="C236" s="73"/>
      <c r="D236" s="40"/>
      <c r="E236" s="48"/>
      <c r="F236" s="48"/>
      <c r="G236" s="48"/>
      <c r="H236" s="48"/>
      <c r="I236" s="48"/>
      <c r="J236" s="48"/>
      <c r="K236" s="48"/>
      <c r="L236" s="86"/>
      <c r="M236" s="86"/>
      <c r="N236" s="86"/>
      <c r="O236" s="86"/>
      <c r="P236" s="86"/>
    </row>
    <row r="237" spans="1:16" ht="15" customHeight="1">
      <c r="A237" s="72"/>
      <c r="B237" s="74" t="s">
        <v>25</v>
      </c>
      <c r="C237" s="74"/>
      <c r="D237" s="67">
        <v>4</v>
      </c>
      <c r="E237" s="65"/>
      <c r="F237" s="65">
        <v>4</v>
      </c>
      <c r="G237" s="65"/>
      <c r="H237" s="65">
        <v>4</v>
      </c>
      <c r="I237" s="65"/>
      <c r="J237" s="65">
        <v>4</v>
      </c>
      <c r="K237" s="65"/>
      <c r="L237" s="86"/>
      <c r="M237" s="86"/>
      <c r="N237" s="86"/>
      <c r="O237" s="86"/>
      <c r="P237" s="86"/>
    </row>
    <row r="238" spans="1:16" ht="15" customHeight="1">
      <c r="A238" s="72"/>
      <c r="B238" s="74" t="s">
        <v>26</v>
      </c>
      <c r="C238" s="74"/>
      <c r="D238" s="67">
        <v>4</v>
      </c>
      <c r="E238" s="65"/>
      <c r="F238" s="65">
        <v>4</v>
      </c>
      <c r="G238" s="65"/>
      <c r="H238" s="65">
        <v>4</v>
      </c>
      <c r="I238" s="65"/>
      <c r="J238" s="65">
        <v>4</v>
      </c>
      <c r="K238" s="65"/>
      <c r="L238" s="86"/>
      <c r="M238" s="86"/>
      <c r="N238" s="86"/>
      <c r="O238" s="86"/>
      <c r="P238" s="86"/>
    </row>
    <row r="239" spans="1:16" ht="15">
      <c r="A239" s="72"/>
      <c r="B239" s="70" t="s">
        <v>18</v>
      </c>
      <c r="C239" s="70"/>
      <c r="D239" s="39"/>
      <c r="E239" s="47"/>
      <c r="F239" s="47"/>
      <c r="G239" s="47"/>
      <c r="H239" s="47"/>
      <c r="I239" s="47"/>
      <c r="J239" s="47"/>
      <c r="K239" s="47"/>
      <c r="L239" s="86"/>
      <c r="M239" s="86"/>
      <c r="N239" s="86"/>
      <c r="O239" s="86"/>
      <c r="P239" s="86"/>
    </row>
    <row r="240" spans="1:16" ht="15">
      <c r="A240" s="72">
        <v>5</v>
      </c>
      <c r="B240" s="73" t="s">
        <v>27</v>
      </c>
      <c r="C240" s="73"/>
      <c r="D240" s="67">
        <v>4</v>
      </c>
      <c r="E240" s="65"/>
      <c r="F240" s="65">
        <v>4</v>
      </c>
      <c r="G240" s="65"/>
      <c r="H240" s="65">
        <v>4</v>
      </c>
      <c r="I240" s="65"/>
      <c r="J240" s="65">
        <v>4</v>
      </c>
      <c r="K240" s="65"/>
      <c r="L240" s="86"/>
      <c r="M240" s="86"/>
      <c r="N240" s="86"/>
      <c r="O240" s="86"/>
      <c r="P240" s="86"/>
    </row>
    <row r="241" spans="1:16" ht="15">
      <c r="A241" s="72"/>
      <c r="B241" s="70" t="s">
        <v>18</v>
      </c>
      <c r="C241" s="70"/>
      <c r="D241" s="39"/>
      <c r="E241" s="47"/>
      <c r="F241" s="47"/>
      <c r="G241" s="47"/>
      <c r="H241" s="47"/>
      <c r="I241" s="47"/>
      <c r="J241" s="47"/>
      <c r="K241" s="47"/>
      <c r="L241" s="86"/>
      <c r="M241" s="86"/>
      <c r="N241" s="86"/>
      <c r="O241" s="86"/>
      <c r="P241" s="86"/>
    </row>
    <row r="242" spans="1:16" ht="15">
      <c r="A242" s="72">
        <v>6</v>
      </c>
      <c r="B242" s="73" t="s">
        <v>28</v>
      </c>
      <c r="C242" s="73"/>
      <c r="D242" s="40"/>
      <c r="E242" s="48"/>
      <c r="F242" s="48"/>
      <c r="G242" s="48"/>
      <c r="H242" s="48"/>
      <c r="I242" s="48"/>
      <c r="J242" s="48"/>
      <c r="K242" s="48"/>
      <c r="L242" s="86"/>
      <c r="M242" s="86"/>
      <c r="N242" s="86"/>
      <c r="O242" s="86"/>
      <c r="P242" s="86"/>
    </row>
    <row r="243" spans="1:16" ht="15" customHeight="1">
      <c r="A243" s="72"/>
      <c r="B243" s="74" t="s">
        <v>29</v>
      </c>
      <c r="C243" s="74"/>
      <c r="D243" s="67">
        <v>4</v>
      </c>
      <c r="E243" s="65"/>
      <c r="F243" s="65">
        <v>4</v>
      </c>
      <c r="G243" s="65"/>
      <c r="H243" s="65">
        <v>4</v>
      </c>
      <c r="I243" s="65"/>
      <c r="J243" s="65">
        <v>4</v>
      </c>
      <c r="K243" s="65"/>
      <c r="L243" s="86"/>
      <c r="M243" s="86"/>
      <c r="N243" s="86"/>
      <c r="O243" s="86"/>
      <c r="P243" s="86"/>
    </row>
    <row r="244" spans="1:16" ht="15" customHeight="1">
      <c r="A244" s="72"/>
      <c r="B244" s="74" t="s">
        <v>30</v>
      </c>
      <c r="C244" s="74"/>
      <c r="D244" s="67">
        <v>4</v>
      </c>
      <c r="E244" s="65"/>
      <c r="F244" s="65">
        <v>4</v>
      </c>
      <c r="G244" s="65"/>
      <c r="H244" s="65">
        <v>4</v>
      </c>
      <c r="I244" s="65"/>
      <c r="J244" s="65">
        <v>4</v>
      </c>
      <c r="K244" s="65"/>
      <c r="L244" s="86"/>
      <c r="M244" s="86"/>
      <c r="N244" s="86"/>
      <c r="O244" s="86"/>
      <c r="P244" s="86"/>
    </row>
    <row r="245" spans="1:16" ht="15" customHeight="1">
      <c r="A245" s="72"/>
      <c r="B245" s="74" t="s">
        <v>31</v>
      </c>
      <c r="C245" s="74"/>
      <c r="D245" s="67">
        <v>4</v>
      </c>
      <c r="E245" s="65"/>
      <c r="F245" s="65">
        <v>4</v>
      </c>
      <c r="G245" s="65"/>
      <c r="H245" s="65">
        <v>4</v>
      </c>
      <c r="I245" s="65"/>
      <c r="J245" s="65">
        <v>4</v>
      </c>
      <c r="K245" s="65"/>
      <c r="L245" s="86"/>
      <c r="M245" s="86"/>
      <c r="N245" s="86"/>
      <c r="O245" s="86"/>
      <c r="P245" s="86"/>
    </row>
    <row r="246" spans="1:16" ht="15" customHeight="1">
      <c r="A246" s="72"/>
      <c r="B246" s="74" t="s">
        <v>32</v>
      </c>
      <c r="C246" s="74"/>
      <c r="D246" s="67">
        <v>4</v>
      </c>
      <c r="E246" s="65"/>
      <c r="F246" s="65">
        <v>4</v>
      </c>
      <c r="G246" s="65"/>
      <c r="H246" s="65">
        <v>4</v>
      </c>
      <c r="I246" s="65"/>
      <c r="J246" s="65">
        <v>4</v>
      </c>
      <c r="K246" s="65"/>
      <c r="L246" s="86"/>
      <c r="M246" s="86"/>
      <c r="N246" s="86"/>
      <c r="O246" s="86"/>
      <c r="P246" s="86"/>
    </row>
    <row r="247" spans="1:16" ht="15" customHeight="1">
      <c r="A247" s="72"/>
      <c r="B247" s="74" t="s">
        <v>33</v>
      </c>
      <c r="C247" s="74"/>
      <c r="D247" s="67">
        <v>4</v>
      </c>
      <c r="E247" s="65"/>
      <c r="F247" s="65">
        <v>4</v>
      </c>
      <c r="G247" s="65"/>
      <c r="H247" s="65">
        <v>4</v>
      </c>
      <c r="I247" s="65"/>
      <c r="J247" s="65">
        <v>4</v>
      </c>
      <c r="K247" s="65"/>
      <c r="L247" s="86"/>
      <c r="M247" s="86"/>
      <c r="N247" s="86"/>
      <c r="O247" s="86"/>
      <c r="P247" s="86"/>
    </row>
    <row r="248" spans="1:16" ht="15">
      <c r="A248" s="72"/>
      <c r="B248" s="70" t="s">
        <v>18</v>
      </c>
      <c r="C248" s="70"/>
      <c r="D248" s="39"/>
      <c r="E248" s="47"/>
      <c r="F248" s="47"/>
      <c r="G248" s="47"/>
      <c r="H248" s="47"/>
      <c r="I248" s="47"/>
      <c r="J248" s="47"/>
      <c r="K248" s="47"/>
      <c r="L248" s="86"/>
      <c r="M248" s="86"/>
      <c r="N248" s="86"/>
      <c r="O248" s="86"/>
      <c r="P248" s="86"/>
    </row>
    <row r="249" spans="1:16" ht="15">
      <c r="A249" s="72">
        <v>7</v>
      </c>
      <c r="B249" s="73" t="s">
        <v>34</v>
      </c>
      <c r="C249" s="73"/>
      <c r="D249" s="40"/>
      <c r="E249" s="48"/>
      <c r="F249" s="48"/>
      <c r="G249" s="48"/>
      <c r="H249" s="48"/>
      <c r="I249" s="48"/>
      <c r="J249" s="48"/>
      <c r="K249" s="48"/>
      <c r="L249" s="86"/>
      <c r="M249" s="86"/>
      <c r="N249" s="86"/>
      <c r="O249" s="86"/>
      <c r="P249" s="86"/>
    </row>
    <row r="250" spans="1:16" ht="15" customHeight="1">
      <c r="A250" s="72"/>
      <c r="B250" s="74" t="s">
        <v>35</v>
      </c>
      <c r="C250" s="74"/>
      <c r="D250" s="67">
        <v>4</v>
      </c>
      <c r="E250" s="65"/>
      <c r="F250" s="65">
        <v>4</v>
      </c>
      <c r="G250" s="65"/>
      <c r="H250" s="65">
        <v>4</v>
      </c>
      <c r="I250" s="65"/>
      <c r="J250" s="65">
        <v>4</v>
      </c>
      <c r="K250" s="65"/>
      <c r="L250" s="86"/>
      <c r="M250" s="86"/>
      <c r="N250" s="86"/>
      <c r="O250" s="86"/>
      <c r="P250" s="86"/>
    </row>
    <row r="251" spans="1:16" ht="15" customHeight="1">
      <c r="A251" s="72"/>
      <c r="B251" s="74" t="s">
        <v>36</v>
      </c>
      <c r="C251" s="74"/>
      <c r="D251" s="67">
        <v>4</v>
      </c>
      <c r="E251" s="65"/>
      <c r="F251" s="65">
        <v>4</v>
      </c>
      <c r="G251" s="65"/>
      <c r="H251" s="65">
        <v>4</v>
      </c>
      <c r="I251" s="65"/>
      <c r="J251" s="65">
        <v>4</v>
      </c>
      <c r="K251" s="65"/>
      <c r="L251" s="86"/>
      <c r="M251" s="86"/>
      <c r="N251" s="86"/>
      <c r="O251" s="86"/>
      <c r="P251" s="86"/>
    </row>
    <row r="252" spans="1:16" ht="15" customHeight="1">
      <c r="A252" s="72"/>
      <c r="B252" s="74" t="s">
        <v>37</v>
      </c>
      <c r="C252" s="74"/>
      <c r="D252" s="67">
        <v>4</v>
      </c>
      <c r="E252" s="65"/>
      <c r="F252" s="65">
        <v>4</v>
      </c>
      <c r="G252" s="65"/>
      <c r="H252" s="65">
        <v>4</v>
      </c>
      <c r="I252" s="65"/>
      <c r="J252" s="65">
        <v>4</v>
      </c>
      <c r="K252" s="65"/>
      <c r="L252" s="86"/>
      <c r="M252" s="86"/>
      <c r="N252" s="86"/>
      <c r="O252" s="86"/>
      <c r="P252" s="86"/>
    </row>
    <row r="253" spans="1:16" ht="15" customHeight="1">
      <c r="A253" s="72"/>
      <c r="B253" s="74" t="s">
        <v>38</v>
      </c>
      <c r="C253" s="74"/>
      <c r="D253" s="67"/>
      <c r="E253" s="65"/>
      <c r="F253" s="65"/>
      <c r="G253" s="65"/>
      <c r="H253" s="65"/>
      <c r="I253" s="65"/>
      <c r="J253" s="65"/>
      <c r="K253" s="65"/>
      <c r="L253" s="86"/>
      <c r="M253" s="86"/>
      <c r="N253" s="86"/>
      <c r="O253" s="86"/>
      <c r="P253" s="86"/>
    </row>
    <row r="254" spans="1:16" ht="15" customHeight="1">
      <c r="A254" s="72"/>
      <c r="B254" s="74" t="s">
        <v>39</v>
      </c>
      <c r="C254" s="74"/>
      <c r="D254" s="67">
        <v>4</v>
      </c>
      <c r="E254" s="65"/>
      <c r="F254" s="65">
        <v>4</v>
      </c>
      <c r="G254" s="65"/>
      <c r="H254" s="65">
        <v>4</v>
      </c>
      <c r="I254" s="65"/>
      <c r="J254" s="65">
        <v>4</v>
      </c>
      <c r="K254" s="65"/>
      <c r="L254" s="86"/>
      <c r="M254" s="86"/>
      <c r="N254" s="86"/>
      <c r="O254" s="86"/>
      <c r="P254" s="86"/>
    </row>
    <row r="255" spans="1:16" ht="15" customHeight="1">
      <c r="A255" s="72"/>
      <c r="B255" s="74" t="s">
        <v>40</v>
      </c>
      <c r="C255" s="74"/>
      <c r="D255" s="67">
        <v>4</v>
      </c>
      <c r="E255" s="65"/>
      <c r="F255" s="65">
        <v>4</v>
      </c>
      <c r="G255" s="65"/>
      <c r="H255" s="65">
        <v>4</v>
      </c>
      <c r="I255" s="65"/>
      <c r="J255" s="65">
        <v>4</v>
      </c>
      <c r="K255" s="65"/>
      <c r="L255" s="86"/>
      <c r="M255" s="86"/>
      <c r="N255" s="86"/>
      <c r="O255" s="86"/>
      <c r="P255" s="86"/>
    </row>
    <row r="256" spans="1:16" ht="15" customHeight="1">
      <c r="A256" s="72"/>
      <c r="B256" s="74" t="s">
        <v>41</v>
      </c>
      <c r="C256" s="74"/>
      <c r="D256" s="67"/>
      <c r="E256" s="65"/>
      <c r="F256" s="65"/>
      <c r="G256" s="65"/>
      <c r="H256" s="65"/>
      <c r="I256" s="65"/>
      <c r="J256" s="65"/>
      <c r="K256" s="65"/>
      <c r="L256" s="86"/>
      <c r="M256" s="86"/>
      <c r="N256" s="86"/>
      <c r="O256" s="86"/>
      <c r="P256" s="86"/>
    </row>
    <row r="257" spans="1:16" ht="15" customHeight="1">
      <c r="A257" s="72"/>
      <c r="B257" s="74" t="s">
        <v>42</v>
      </c>
      <c r="C257" s="74"/>
      <c r="D257" s="67"/>
      <c r="E257" s="65"/>
      <c r="F257" s="65"/>
      <c r="G257" s="65"/>
      <c r="H257" s="65"/>
      <c r="I257" s="65"/>
      <c r="J257" s="65"/>
      <c r="K257" s="65"/>
      <c r="L257" s="86"/>
      <c r="M257" s="86"/>
      <c r="N257" s="86"/>
      <c r="O257" s="86"/>
      <c r="P257" s="86"/>
    </row>
    <row r="258" spans="1:16" ht="15" customHeight="1">
      <c r="A258" s="72"/>
      <c r="B258" s="68" t="s">
        <v>43</v>
      </c>
      <c r="C258" s="69"/>
      <c r="D258" s="67"/>
      <c r="E258" s="65"/>
      <c r="F258" s="65"/>
      <c r="G258" s="65"/>
      <c r="H258" s="65"/>
      <c r="I258" s="65"/>
      <c r="J258" s="65"/>
      <c r="K258" s="65"/>
      <c r="L258" s="86"/>
      <c r="M258" s="86"/>
      <c r="N258" s="86"/>
      <c r="O258" s="86"/>
      <c r="P258" s="86"/>
    </row>
    <row r="259" spans="1:16" ht="15">
      <c r="A259" s="72"/>
      <c r="B259" s="70" t="s">
        <v>18</v>
      </c>
      <c r="C259" s="70"/>
      <c r="D259" s="39"/>
      <c r="E259" s="47"/>
      <c r="F259" s="47"/>
      <c r="G259" s="47"/>
      <c r="H259" s="47"/>
      <c r="I259" s="47"/>
      <c r="J259" s="47"/>
      <c r="K259" s="47"/>
      <c r="L259" s="86"/>
      <c r="M259" s="86"/>
      <c r="N259" s="86"/>
      <c r="O259" s="86"/>
      <c r="P259" s="86"/>
    </row>
    <row r="260" spans="1:16">
      <c r="B260"/>
    </row>
    <row r="261" spans="1:16" ht="15">
      <c r="B261" s="71" t="s">
        <v>44</v>
      </c>
      <c r="C261" s="71"/>
      <c r="D261" s="1">
        <f>SUM(D227:D258)</f>
        <v>72</v>
      </c>
      <c r="E261" s="1">
        <f t="shared" ref="E261:K261" si="15">SUM(E227:E258)</f>
        <v>0</v>
      </c>
      <c r="F261" s="1">
        <f t="shared" si="15"/>
        <v>72</v>
      </c>
      <c r="G261" s="1">
        <f t="shared" si="15"/>
        <v>0</v>
      </c>
      <c r="H261" s="1">
        <f t="shared" si="15"/>
        <v>72</v>
      </c>
      <c r="I261" s="1">
        <f t="shared" si="15"/>
        <v>0</v>
      </c>
      <c r="J261" s="1">
        <f t="shared" si="15"/>
        <v>72</v>
      </c>
      <c r="K261" s="1">
        <f t="shared" si="15"/>
        <v>0</v>
      </c>
      <c r="M261" s="17" t="s">
        <v>2</v>
      </c>
      <c r="N261" s="17" t="s">
        <v>3</v>
      </c>
    </row>
    <row r="262" spans="1:16" ht="15">
      <c r="B262"/>
      <c r="C262" s="64"/>
      <c r="D262" s="1">
        <f>COUNT(D227:D259)*5</f>
        <v>90</v>
      </c>
      <c r="E262" s="1">
        <f t="shared" ref="E262:K262" si="16">COUNT(E227:E259)*5</f>
        <v>0</v>
      </c>
      <c r="F262" s="1">
        <f t="shared" si="16"/>
        <v>90</v>
      </c>
      <c r="G262" s="1">
        <f t="shared" si="16"/>
        <v>0</v>
      </c>
      <c r="H262" s="1">
        <f t="shared" si="16"/>
        <v>90</v>
      </c>
      <c r="I262" s="1">
        <f t="shared" si="16"/>
        <v>0</v>
      </c>
      <c r="J262" s="1">
        <f t="shared" si="16"/>
        <v>90</v>
      </c>
      <c r="K262" s="1">
        <f t="shared" si="16"/>
        <v>0</v>
      </c>
      <c r="M262" s="18">
        <f>(D263+F263+H263+J263)/4</f>
        <v>0.8</v>
      </c>
      <c r="N262" s="18" t="e">
        <f>(E263+G263+I263+K263)/4</f>
        <v>#DIV/0!</v>
      </c>
    </row>
    <row r="263" spans="1:16" ht="15">
      <c r="B263"/>
      <c r="C263" s="2" t="s">
        <v>45</v>
      </c>
      <c r="D263" s="11">
        <f>D261/D262</f>
        <v>0.8</v>
      </c>
      <c r="E263" s="11" t="e">
        <f t="shared" ref="E263:K263" si="17">E261/E262</f>
        <v>#DIV/0!</v>
      </c>
      <c r="F263" s="11">
        <f t="shared" si="17"/>
        <v>0.8</v>
      </c>
      <c r="G263" s="11" t="e">
        <f t="shared" si="17"/>
        <v>#DIV/0!</v>
      </c>
      <c r="H263" s="11">
        <f t="shared" si="17"/>
        <v>0.8</v>
      </c>
      <c r="I263" s="11" t="e">
        <f t="shared" si="17"/>
        <v>#DIV/0!</v>
      </c>
      <c r="J263" s="11">
        <f t="shared" si="17"/>
        <v>0.8</v>
      </c>
      <c r="K263" s="11" t="e">
        <f t="shared" si="17"/>
        <v>#DIV/0!</v>
      </c>
      <c r="L263" s="4"/>
      <c r="M263" s="4"/>
      <c r="N263" s="4"/>
      <c r="O263" s="4"/>
      <c r="P263" s="4"/>
    </row>
    <row r="264" spans="1:16" s="22" customFormat="1"/>
    <row r="265" spans="1:16" ht="18">
      <c r="B265" s="16" t="s">
        <v>51</v>
      </c>
      <c r="C265" s="23" t="s">
        <v>6</v>
      </c>
      <c r="D265" s="75" t="s">
        <v>7</v>
      </c>
      <c r="E265" s="76"/>
      <c r="F265" s="75" t="s">
        <v>8</v>
      </c>
      <c r="G265" s="76"/>
      <c r="H265" s="75" t="s">
        <v>9</v>
      </c>
      <c r="I265" s="76"/>
      <c r="J265" s="75" t="s">
        <v>10</v>
      </c>
      <c r="K265" s="76"/>
    </row>
    <row r="266" spans="1:16" s="1" customFormat="1" ht="15">
      <c r="A266" s="77" t="s">
        <v>11</v>
      </c>
      <c r="B266" s="77" t="s">
        <v>12</v>
      </c>
      <c r="C266" s="6" t="s">
        <v>13</v>
      </c>
      <c r="D266" s="42">
        <v>46208</v>
      </c>
      <c r="E266" s="55"/>
      <c r="F266" s="55">
        <v>46215</v>
      </c>
      <c r="G266" s="55"/>
      <c r="H266" s="55">
        <v>46222</v>
      </c>
      <c r="I266" s="55"/>
      <c r="J266" s="55">
        <v>46229</v>
      </c>
      <c r="K266" s="55"/>
      <c r="L266" s="80" t="s">
        <v>14</v>
      </c>
      <c r="M266" s="81"/>
      <c r="N266" s="81"/>
      <c r="O266" s="81"/>
      <c r="P266" s="81"/>
    </row>
    <row r="267" spans="1:16" s="1" customFormat="1" ht="15">
      <c r="A267" s="78"/>
      <c r="B267" s="78"/>
      <c r="C267" s="6"/>
      <c r="D267" s="54" t="s">
        <v>2</v>
      </c>
      <c r="E267" s="54" t="s">
        <v>15</v>
      </c>
      <c r="F267" s="54" t="s">
        <v>2</v>
      </c>
      <c r="G267" s="54" t="s">
        <v>15</v>
      </c>
      <c r="H267" s="54" t="s">
        <v>2</v>
      </c>
      <c r="I267" s="54" t="s">
        <v>15</v>
      </c>
      <c r="J267" s="54" t="s">
        <v>2</v>
      </c>
      <c r="K267" s="54" t="s">
        <v>15</v>
      </c>
      <c r="L267" s="80"/>
      <c r="M267" s="81"/>
      <c r="N267" s="81"/>
      <c r="O267" s="81"/>
      <c r="P267" s="81"/>
    </row>
    <row r="268" spans="1:16" s="1" customFormat="1" ht="15">
      <c r="A268" s="79"/>
      <c r="B268" s="79"/>
      <c r="C268" s="6" t="s">
        <v>16</v>
      </c>
      <c r="D268" s="38" t="s">
        <v>90</v>
      </c>
      <c r="E268" s="54"/>
      <c r="F268" s="54" t="s">
        <v>90</v>
      </c>
      <c r="G268" s="54"/>
      <c r="H268" s="54" t="s">
        <v>90</v>
      </c>
      <c r="I268" s="54"/>
      <c r="J268" s="54" t="s">
        <v>90</v>
      </c>
      <c r="K268" s="54"/>
      <c r="L268" s="80"/>
      <c r="M268" s="81"/>
      <c r="N268" s="81"/>
      <c r="O268" s="81"/>
      <c r="P268" s="81"/>
    </row>
    <row r="269" spans="1:16" ht="15">
      <c r="A269" s="82">
        <v>1</v>
      </c>
      <c r="B269" s="84" t="s">
        <v>17</v>
      </c>
      <c r="C269" s="85"/>
      <c r="D269" s="67">
        <v>4</v>
      </c>
      <c r="E269" s="56"/>
      <c r="F269" s="56">
        <v>4</v>
      </c>
      <c r="G269" s="56"/>
      <c r="H269" s="56">
        <v>4</v>
      </c>
      <c r="I269" s="56"/>
      <c r="J269" s="56">
        <v>4</v>
      </c>
      <c r="K269" s="56"/>
      <c r="L269" s="86"/>
      <c r="M269" s="86"/>
      <c r="N269" s="86"/>
      <c r="O269" s="86"/>
      <c r="P269" s="86"/>
    </row>
    <row r="270" spans="1:16" ht="15">
      <c r="A270" s="83"/>
      <c r="B270" s="87" t="s">
        <v>18</v>
      </c>
      <c r="C270" s="88"/>
      <c r="D270" s="39"/>
      <c r="E270" s="57"/>
      <c r="F270" s="57"/>
      <c r="G270" s="57"/>
      <c r="H270" s="57"/>
      <c r="I270" s="57"/>
      <c r="J270" s="57"/>
      <c r="K270" s="57"/>
      <c r="L270" s="86"/>
      <c r="M270" s="86"/>
      <c r="N270" s="86"/>
      <c r="O270" s="86"/>
      <c r="P270" s="86"/>
    </row>
    <row r="271" spans="1:16" ht="15">
      <c r="A271" s="72">
        <v>2</v>
      </c>
      <c r="B271" s="73" t="s">
        <v>19</v>
      </c>
      <c r="C271" s="73"/>
      <c r="D271" s="67">
        <v>4</v>
      </c>
      <c r="E271" s="56"/>
      <c r="F271" s="56">
        <v>4</v>
      </c>
      <c r="G271" s="56"/>
      <c r="H271" s="56">
        <v>4</v>
      </c>
      <c r="I271" s="56"/>
      <c r="J271" s="56">
        <v>4</v>
      </c>
      <c r="K271" s="56"/>
      <c r="L271" s="86"/>
      <c r="M271" s="86"/>
      <c r="N271" s="86"/>
      <c r="O271" s="86"/>
      <c r="P271" s="86"/>
    </row>
    <row r="272" spans="1:16" ht="15">
      <c r="A272" s="72"/>
      <c r="B272" s="70" t="s">
        <v>18</v>
      </c>
      <c r="C272" s="70"/>
      <c r="D272" s="39"/>
      <c r="E272" s="57"/>
      <c r="F272" s="57"/>
      <c r="G272" s="57"/>
      <c r="H272" s="57"/>
      <c r="I272" s="57"/>
      <c r="J272" s="57"/>
      <c r="K272" s="57"/>
      <c r="L272" s="86"/>
      <c r="M272" s="86"/>
      <c r="N272" s="86"/>
      <c r="O272" s="86"/>
      <c r="P272" s="86"/>
    </row>
    <row r="273" spans="1:16" ht="15">
      <c r="A273" s="72">
        <v>3</v>
      </c>
      <c r="B273" s="73" t="s">
        <v>20</v>
      </c>
      <c r="C273" s="73"/>
      <c r="D273" s="40"/>
      <c r="E273" s="58"/>
      <c r="F273" s="58"/>
      <c r="G273" s="58"/>
      <c r="H273" s="58"/>
      <c r="I273" s="58"/>
      <c r="J273" s="58"/>
      <c r="K273" s="58"/>
      <c r="L273" s="86"/>
      <c r="M273" s="86"/>
      <c r="N273" s="86"/>
      <c r="O273" s="86"/>
      <c r="P273" s="86"/>
    </row>
    <row r="274" spans="1:16" ht="15" customHeight="1">
      <c r="A274" s="72"/>
      <c r="B274" s="74" t="s">
        <v>21</v>
      </c>
      <c r="C274" s="74"/>
      <c r="D274" s="67">
        <v>4</v>
      </c>
      <c r="E274" s="56"/>
      <c r="F274" s="56">
        <v>4</v>
      </c>
      <c r="G274" s="56"/>
      <c r="H274" s="56">
        <v>4</v>
      </c>
      <c r="I274" s="56"/>
      <c r="J274" s="56">
        <v>4</v>
      </c>
      <c r="K274" s="56"/>
      <c r="L274" s="86"/>
      <c r="M274" s="86"/>
      <c r="N274" s="86"/>
      <c r="O274" s="86"/>
      <c r="P274" s="86"/>
    </row>
    <row r="275" spans="1:16" ht="15" customHeight="1">
      <c r="A275" s="72"/>
      <c r="B275" s="74" t="s">
        <v>22</v>
      </c>
      <c r="C275" s="74"/>
      <c r="D275" s="67">
        <v>4</v>
      </c>
      <c r="E275" s="56"/>
      <c r="F275" s="56">
        <v>4</v>
      </c>
      <c r="G275" s="56"/>
      <c r="H275" s="56">
        <v>4</v>
      </c>
      <c r="I275" s="56"/>
      <c r="J275" s="56">
        <v>4</v>
      </c>
      <c r="K275" s="56"/>
      <c r="L275" s="86"/>
      <c r="M275" s="86"/>
      <c r="N275" s="86"/>
      <c r="O275" s="86"/>
      <c r="P275" s="86"/>
    </row>
    <row r="276" spans="1:16" ht="15" customHeight="1">
      <c r="A276" s="72"/>
      <c r="B276" s="74" t="s">
        <v>23</v>
      </c>
      <c r="C276" s="74"/>
      <c r="D276" s="67">
        <v>4</v>
      </c>
      <c r="E276" s="56"/>
      <c r="F276" s="56">
        <v>4</v>
      </c>
      <c r="G276" s="56"/>
      <c r="H276" s="56">
        <v>4</v>
      </c>
      <c r="I276" s="56"/>
      <c r="J276" s="56">
        <v>4</v>
      </c>
      <c r="K276" s="56"/>
      <c r="L276" s="86"/>
      <c r="M276" s="86"/>
      <c r="N276" s="86"/>
      <c r="O276" s="86"/>
      <c r="P276" s="86"/>
    </row>
    <row r="277" spans="1:16" ht="15">
      <c r="A277" s="72"/>
      <c r="B277" s="70" t="s">
        <v>18</v>
      </c>
      <c r="C277" s="70"/>
      <c r="D277" s="39"/>
      <c r="E277" s="57"/>
      <c r="F277" s="57"/>
      <c r="G277" s="57"/>
      <c r="H277" s="57"/>
      <c r="I277" s="57"/>
      <c r="J277" s="57"/>
      <c r="K277" s="57"/>
      <c r="L277" s="86"/>
      <c r="M277" s="86"/>
      <c r="N277" s="86"/>
      <c r="O277" s="86"/>
      <c r="P277" s="86"/>
    </row>
    <row r="278" spans="1:16" ht="15">
      <c r="A278" s="72">
        <v>4</v>
      </c>
      <c r="B278" s="73" t="s">
        <v>24</v>
      </c>
      <c r="C278" s="73"/>
      <c r="D278" s="40"/>
      <c r="E278" s="58"/>
      <c r="F278" s="58"/>
      <c r="G278" s="58"/>
      <c r="H278" s="58"/>
      <c r="I278" s="58"/>
      <c r="J278" s="58"/>
      <c r="K278" s="58"/>
      <c r="L278" s="86"/>
      <c r="M278" s="86"/>
      <c r="N278" s="86"/>
      <c r="O278" s="86"/>
      <c r="P278" s="86"/>
    </row>
    <row r="279" spans="1:16" ht="15" customHeight="1">
      <c r="A279" s="72"/>
      <c r="B279" s="74" t="s">
        <v>25</v>
      </c>
      <c r="C279" s="74"/>
      <c r="D279" s="67">
        <v>4</v>
      </c>
      <c r="E279" s="56"/>
      <c r="F279" s="56">
        <v>4</v>
      </c>
      <c r="G279" s="56"/>
      <c r="H279" s="56">
        <v>4</v>
      </c>
      <c r="I279" s="56"/>
      <c r="J279" s="56">
        <v>4</v>
      </c>
      <c r="K279" s="56"/>
      <c r="L279" s="86"/>
      <c r="M279" s="86"/>
      <c r="N279" s="86"/>
      <c r="O279" s="86"/>
      <c r="P279" s="86"/>
    </row>
    <row r="280" spans="1:16" ht="15" customHeight="1">
      <c r="A280" s="72"/>
      <c r="B280" s="74" t="s">
        <v>26</v>
      </c>
      <c r="C280" s="74"/>
      <c r="D280" s="67">
        <v>4</v>
      </c>
      <c r="E280" s="56"/>
      <c r="F280" s="56">
        <v>4</v>
      </c>
      <c r="G280" s="56"/>
      <c r="H280" s="56">
        <v>4</v>
      </c>
      <c r="I280" s="56"/>
      <c r="J280" s="56">
        <v>4</v>
      </c>
      <c r="K280" s="56"/>
      <c r="L280" s="86"/>
      <c r="M280" s="86"/>
      <c r="N280" s="86"/>
      <c r="O280" s="86"/>
      <c r="P280" s="86"/>
    </row>
    <row r="281" spans="1:16" ht="15">
      <c r="A281" s="72"/>
      <c r="B281" s="70" t="s">
        <v>18</v>
      </c>
      <c r="C281" s="70"/>
      <c r="D281" s="39"/>
      <c r="E281" s="57"/>
      <c r="F281" s="57"/>
      <c r="G281" s="57"/>
      <c r="H281" s="57"/>
      <c r="I281" s="57"/>
      <c r="J281" s="57"/>
      <c r="K281" s="57"/>
      <c r="L281" s="86"/>
      <c r="M281" s="86"/>
      <c r="N281" s="86"/>
      <c r="O281" s="86"/>
      <c r="P281" s="86"/>
    </row>
    <row r="282" spans="1:16" ht="15">
      <c r="A282" s="72">
        <v>5</v>
      </c>
      <c r="B282" s="73" t="s">
        <v>27</v>
      </c>
      <c r="C282" s="73"/>
      <c r="D282" s="67">
        <v>4</v>
      </c>
      <c r="E282" s="56"/>
      <c r="F282" s="56">
        <v>4</v>
      </c>
      <c r="G282" s="56"/>
      <c r="H282" s="56">
        <v>4</v>
      </c>
      <c r="I282" s="56"/>
      <c r="J282" s="56">
        <v>4</v>
      </c>
      <c r="K282" s="56"/>
      <c r="L282" s="86"/>
      <c r="M282" s="86"/>
      <c r="N282" s="86"/>
      <c r="O282" s="86"/>
      <c r="P282" s="86"/>
    </row>
    <row r="283" spans="1:16" ht="15">
      <c r="A283" s="72"/>
      <c r="B283" s="70" t="s">
        <v>18</v>
      </c>
      <c r="C283" s="70"/>
      <c r="D283" s="39"/>
      <c r="E283" s="57"/>
      <c r="F283" s="57"/>
      <c r="G283" s="57"/>
      <c r="H283" s="57"/>
      <c r="I283" s="57"/>
      <c r="J283" s="57"/>
      <c r="K283" s="57"/>
      <c r="L283" s="86"/>
      <c r="M283" s="86"/>
      <c r="N283" s="86"/>
      <c r="O283" s="86"/>
      <c r="P283" s="86"/>
    </row>
    <row r="284" spans="1:16" ht="15">
      <c r="A284" s="72">
        <v>6</v>
      </c>
      <c r="B284" s="73" t="s">
        <v>28</v>
      </c>
      <c r="C284" s="73"/>
      <c r="D284" s="40"/>
      <c r="E284" s="58"/>
      <c r="F284" s="58"/>
      <c r="G284" s="58"/>
      <c r="H284" s="58"/>
      <c r="I284" s="58"/>
      <c r="J284" s="58"/>
      <c r="K284" s="58"/>
      <c r="L284" s="86"/>
      <c r="M284" s="86"/>
      <c r="N284" s="86"/>
      <c r="O284" s="86"/>
      <c r="P284" s="86"/>
    </row>
    <row r="285" spans="1:16" ht="15" customHeight="1">
      <c r="A285" s="72"/>
      <c r="B285" s="74" t="s">
        <v>29</v>
      </c>
      <c r="C285" s="74"/>
      <c r="D285" s="67">
        <v>4</v>
      </c>
      <c r="E285" s="56"/>
      <c r="F285" s="56">
        <v>4</v>
      </c>
      <c r="G285" s="56"/>
      <c r="H285" s="56">
        <v>4</v>
      </c>
      <c r="I285" s="56"/>
      <c r="J285" s="56">
        <v>4</v>
      </c>
      <c r="K285" s="56"/>
      <c r="L285" s="86"/>
      <c r="M285" s="86"/>
      <c r="N285" s="86"/>
      <c r="O285" s="86"/>
      <c r="P285" s="86"/>
    </row>
    <row r="286" spans="1:16" ht="15" customHeight="1">
      <c r="A286" s="72"/>
      <c r="B286" s="74" t="s">
        <v>30</v>
      </c>
      <c r="C286" s="74"/>
      <c r="D286" s="67">
        <v>4</v>
      </c>
      <c r="E286" s="56"/>
      <c r="F286" s="56">
        <v>4</v>
      </c>
      <c r="G286" s="56"/>
      <c r="H286" s="56">
        <v>4</v>
      </c>
      <c r="I286" s="56"/>
      <c r="J286" s="56">
        <v>4</v>
      </c>
      <c r="K286" s="56"/>
      <c r="L286" s="86"/>
      <c r="M286" s="86"/>
      <c r="N286" s="86"/>
      <c r="O286" s="86"/>
      <c r="P286" s="86"/>
    </row>
    <row r="287" spans="1:16" ht="15" customHeight="1">
      <c r="A287" s="72"/>
      <c r="B287" s="74" t="s">
        <v>31</v>
      </c>
      <c r="C287" s="74"/>
      <c r="D287" s="67">
        <v>4</v>
      </c>
      <c r="E287" s="56"/>
      <c r="F287" s="56">
        <v>4</v>
      </c>
      <c r="G287" s="56"/>
      <c r="H287" s="56">
        <v>4</v>
      </c>
      <c r="I287" s="56"/>
      <c r="J287" s="56">
        <v>4</v>
      </c>
      <c r="K287" s="56"/>
      <c r="L287" s="86"/>
      <c r="M287" s="86"/>
      <c r="N287" s="86"/>
      <c r="O287" s="86"/>
      <c r="P287" s="86"/>
    </row>
    <row r="288" spans="1:16" ht="15" customHeight="1">
      <c r="A288" s="72"/>
      <c r="B288" s="74" t="s">
        <v>32</v>
      </c>
      <c r="C288" s="74"/>
      <c r="D288" s="67">
        <v>4</v>
      </c>
      <c r="E288" s="56"/>
      <c r="F288" s="56">
        <v>4</v>
      </c>
      <c r="G288" s="56"/>
      <c r="H288" s="56">
        <v>4</v>
      </c>
      <c r="I288" s="56"/>
      <c r="J288" s="56">
        <v>4</v>
      </c>
      <c r="K288" s="56"/>
      <c r="L288" s="86"/>
      <c r="M288" s="86"/>
      <c r="N288" s="86"/>
      <c r="O288" s="86"/>
      <c r="P288" s="86"/>
    </row>
    <row r="289" spans="1:16" ht="15" customHeight="1">
      <c r="A289" s="72"/>
      <c r="B289" s="74" t="s">
        <v>33</v>
      </c>
      <c r="C289" s="74"/>
      <c r="D289" s="67">
        <v>4</v>
      </c>
      <c r="E289" s="56"/>
      <c r="F289" s="56">
        <v>4</v>
      </c>
      <c r="G289" s="56"/>
      <c r="H289" s="56">
        <v>4</v>
      </c>
      <c r="I289" s="56"/>
      <c r="J289" s="56">
        <v>4</v>
      </c>
      <c r="K289" s="56"/>
      <c r="L289" s="86"/>
      <c r="M289" s="86"/>
      <c r="N289" s="86"/>
      <c r="O289" s="86"/>
      <c r="P289" s="86"/>
    </row>
    <row r="290" spans="1:16" ht="15">
      <c r="A290" s="72"/>
      <c r="B290" s="70" t="s">
        <v>18</v>
      </c>
      <c r="C290" s="70"/>
      <c r="D290" s="39"/>
      <c r="E290" s="57"/>
      <c r="F290" s="57"/>
      <c r="G290" s="57"/>
      <c r="H290" s="57"/>
      <c r="I290" s="57"/>
      <c r="J290" s="57"/>
      <c r="K290" s="57"/>
      <c r="L290" s="86"/>
      <c r="M290" s="86"/>
      <c r="N290" s="86"/>
      <c r="O290" s="86"/>
      <c r="P290" s="86"/>
    </row>
    <row r="291" spans="1:16" ht="15">
      <c r="A291" s="72">
        <v>7</v>
      </c>
      <c r="B291" s="73" t="s">
        <v>34</v>
      </c>
      <c r="C291" s="73"/>
      <c r="D291" s="40"/>
      <c r="E291" s="58"/>
      <c r="F291" s="58"/>
      <c r="G291" s="58"/>
      <c r="H291" s="58"/>
      <c r="I291" s="58"/>
      <c r="J291" s="58"/>
      <c r="K291" s="58"/>
      <c r="L291" s="86"/>
      <c r="M291" s="86"/>
      <c r="N291" s="86"/>
      <c r="O291" s="86"/>
      <c r="P291" s="86"/>
    </row>
    <row r="292" spans="1:16" ht="15" customHeight="1">
      <c r="A292" s="72"/>
      <c r="B292" s="74" t="s">
        <v>35</v>
      </c>
      <c r="C292" s="74"/>
      <c r="D292" s="67">
        <v>4</v>
      </c>
      <c r="E292" s="56"/>
      <c r="F292" s="56">
        <v>4</v>
      </c>
      <c r="G292" s="56"/>
      <c r="H292" s="56">
        <v>4</v>
      </c>
      <c r="I292" s="56"/>
      <c r="J292" s="56">
        <v>4</v>
      </c>
      <c r="K292" s="56"/>
      <c r="L292" s="86"/>
      <c r="M292" s="86"/>
      <c r="N292" s="86"/>
      <c r="O292" s="86"/>
      <c r="P292" s="86"/>
    </row>
    <row r="293" spans="1:16" ht="15" customHeight="1">
      <c r="A293" s="72"/>
      <c r="B293" s="74" t="s">
        <v>36</v>
      </c>
      <c r="C293" s="74"/>
      <c r="D293" s="67">
        <v>4</v>
      </c>
      <c r="E293" s="56"/>
      <c r="F293" s="56">
        <v>4</v>
      </c>
      <c r="G293" s="56"/>
      <c r="H293" s="56">
        <v>4</v>
      </c>
      <c r="I293" s="56"/>
      <c r="J293" s="56">
        <v>4</v>
      </c>
      <c r="K293" s="56"/>
      <c r="L293" s="86"/>
      <c r="M293" s="86"/>
      <c r="N293" s="86"/>
      <c r="O293" s="86"/>
      <c r="P293" s="86"/>
    </row>
    <row r="294" spans="1:16" ht="15" customHeight="1">
      <c r="A294" s="72"/>
      <c r="B294" s="74" t="s">
        <v>37</v>
      </c>
      <c r="C294" s="74"/>
      <c r="D294" s="67">
        <v>4</v>
      </c>
      <c r="E294" s="56"/>
      <c r="F294" s="56">
        <v>4</v>
      </c>
      <c r="G294" s="56"/>
      <c r="H294" s="56">
        <v>4</v>
      </c>
      <c r="I294" s="56"/>
      <c r="J294" s="56">
        <v>4</v>
      </c>
      <c r="K294" s="56"/>
      <c r="L294" s="86"/>
      <c r="M294" s="86"/>
      <c r="N294" s="86"/>
      <c r="O294" s="86"/>
      <c r="P294" s="86"/>
    </row>
    <row r="295" spans="1:16" ht="15" customHeight="1">
      <c r="A295" s="72"/>
      <c r="B295" s="74" t="s">
        <v>38</v>
      </c>
      <c r="C295" s="74"/>
      <c r="D295" s="67"/>
      <c r="E295" s="56"/>
      <c r="F295" s="56"/>
      <c r="G295" s="56"/>
      <c r="H295" s="56"/>
      <c r="I295" s="56"/>
      <c r="J295" s="56"/>
      <c r="K295" s="56"/>
      <c r="L295" s="86"/>
      <c r="M295" s="86"/>
      <c r="N295" s="86"/>
      <c r="O295" s="86"/>
      <c r="P295" s="86"/>
    </row>
    <row r="296" spans="1:16" ht="15" customHeight="1">
      <c r="A296" s="72"/>
      <c r="B296" s="74" t="s">
        <v>39</v>
      </c>
      <c r="C296" s="74"/>
      <c r="D296" s="67">
        <v>4</v>
      </c>
      <c r="E296" s="56"/>
      <c r="F296" s="56">
        <v>4</v>
      </c>
      <c r="G296" s="56"/>
      <c r="H296" s="56">
        <v>4</v>
      </c>
      <c r="I296" s="56"/>
      <c r="J296" s="56">
        <v>4</v>
      </c>
      <c r="K296" s="56"/>
      <c r="L296" s="86"/>
      <c r="M296" s="86"/>
      <c r="N296" s="86"/>
      <c r="O296" s="86"/>
      <c r="P296" s="86"/>
    </row>
    <row r="297" spans="1:16" ht="15" customHeight="1">
      <c r="A297" s="72"/>
      <c r="B297" s="74" t="s">
        <v>40</v>
      </c>
      <c r="C297" s="74"/>
      <c r="D297" s="67">
        <v>4</v>
      </c>
      <c r="E297" s="56"/>
      <c r="F297" s="56">
        <v>4</v>
      </c>
      <c r="G297" s="56"/>
      <c r="H297" s="56">
        <v>4</v>
      </c>
      <c r="I297" s="56"/>
      <c r="J297" s="56">
        <v>4</v>
      </c>
      <c r="K297" s="56"/>
      <c r="L297" s="86"/>
      <c r="M297" s="86"/>
      <c r="N297" s="86"/>
      <c r="O297" s="86"/>
      <c r="P297" s="86"/>
    </row>
    <row r="298" spans="1:16" ht="15" customHeight="1">
      <c r="A298" s="72"/>
      <c r="B298" s="74" t="s">
        <v>41</v>
      </c>
      <c r="C298" s="74"/>
      <c r="D298" s="67"/>
      <c r="E298" s="56"/>
      <c r="F298" s="56"/>
      <c r="G298" s="56"/>
      <c r="H298" s="56"/>
      <c r="I298" s="56"/>
      <c r="J298" s="56"/>
      <c r="K298" s="56"/>
      <c r="L298" s="86"/>
      <c r="M298" s="86"/>
      <c r="N298" s="86"/>
      <c r="O298" s="86"/>
      <c r="P298" s="86"/>
    </row>
    <row r="299" spans="1:16" ht="15" customHeight="1">
      <c r="A299" s="72"/>
      <c r="B299" s="74" t="s">
        <v>42</v>
      </c>
      <c r="C299" s="74"/>
      <c r="D299" s="67"/>
      <c r="E299" s="56"/>
      <c r="F299" s="56"/>
      <c r="G299" s="56"/>
      <c r="H299" s="56"/>
      <c r="I299" s="56"/>
      <c r="J299" s="56"/>
      <c r="K299" s="56"/>
      <c r="L299" s="86"/>
      <c r="M299" s="86"/>
      <c r="N299" s="86"/>
      <c r="O299" s="86"/>
      <c r="P299" s="86"/>
    </row>
    <row r="300" spans="1:16" ht="15" customHeight="1">
      <c r="A300" s="72"/>
      <c r="B300" s="68" t="s">
        <v>43</v>
      </c>
      <c r="C300" s="69"/>
      <c r="D300" s="67"/>
      <c r="E300" s="56"/>
      <c r="F300" s="56"/>
      <c r="G300" s="56"/>
      <c r="H300" s="56"/>
      <c r="I300" s="56"/>
      <c r="J300" s="56"/>
      <c r="K300" s="56"/>
      <c r="L300" s="86"/>
      <c r="M300" s="86"/>
      <c r="N300" s="86"/>
      <c r="O300" s="86"/>
      <c r="P300" s="86"/>
    </row>
    <row r="301" spans="1:16" ht="15">
      <c r="A301" s="72"/>
      <c r="B301" s="70" t="s">
        <v>18</v>
      </c>
      <c r="C301" s="70"/>
      <c r="D301" s="39"/>
      <c r="E301" s="57"/>
      <c r="F301" s="57"/>
      <c r="G301" s="57"/>
      <c r="H301" s="57"/>
      <c r="I301" s="57"/>
      <c r="J301" s="57"/>
      <c r="K301" s="57"/>
      <c r="L301" s="86"/>
      <c r="M301" s="86"/>
      <c r="N301" s="86"/>
      <c r="O301" s="86"/>
      <c r="P301" s="86"/>
    </row>
    <row r="302" spans="1:16">
      <c r="B302"/>
      <c r="D302" s="59"/>
      <c r="E302" s="59"/>
      <c r="F302" s="59"/>
      <c r="G302" s="59"/>
      <c r="H302" s="59"/>
      <c r="I302" s="59"/>
      <c r="J302" s="59"/>
      <c r="K302" s="59"/>
    </row>
    <row r="303" spans="1:16" ht="15">
      <c r="B303" s="71" t="s">
        <v>44</v>
      </c>
      <c r="C303" s="71"/>
      <c r="D303" s="60">
        <f>SUM(D269:D300)</f>
        <v>72</v>
      </c>
      <c r="E303" s="60">
        <f t="shared" ref="E303:K303" si="18">SUM(E269:E300)</f>
        <v>0</v>
      </c>
      <c r="F303" s="60">
        <f t="shared" si="18"/>
        <v>72</v>
      </c>
      <c r="G303" s="60">
        <f t="shared" si="18"/>
        <v>0</v>
      </c>
      <c r="H303" s="60">
        <f t="shared" si="18"/>
        <v>72</v>
      </c>
      <c r="I303" s="60">
        <f t="shared" si="18"/>
        <v>0</v>
      </c>
      <c r="J303" s="60">
        <f t="shared" si="18"/>
        <v>72</v>
      </c>
      <c r="K303" s="60">
        <f t="shared" si="18"/>
        <v>0</v>
      </c>
      <c r="M303" s="17" t="s">
        <v>2</v>
      </c>
      <c r="N303" s="17" t="s">
        <v>3</v>
      </c>
    </row>
    <row r="304" spans="1:16" ht="15">
      <c r="B304"/>
      <c r="C304" s="64"/>
      <c r="D304" s="60">
        <f>COUNT(D269:D301)*5</f>
        <v>90</v>
      </c>
      <c r="E304" s="60">
        <f t="shared" ref="E304:K304" si="19">COUNT(E269:E301)*5</f>
        <v>0</v>
      </c>
      <c r="F304" s="60">
        <f t="shared" si="19"/>
        <v>90</v>
      </c>
      <c r="G304" s="60">
        <f t="shared" si="19"/>
        <v>0</v>
      </c>
      <c r="H304" s="60">
        <f t="shared" si="19"/>
        <v>90</v>
      </c>
      <c r="I304" s="60">
        <f t="shared" si="19"/>
        <v>0</v>
      </c>
      <c r="J304" s="60">
        <f t="shared" si="19"/>
        <v>90</v>
      </c>
      <c r="K304" s="60">
        <f t="shared" si="19"/>
        <v>0</v>
      </c>
      <c r="M304" s="18">
        <f>(D305+F305+H305+J305)/4</f>
        <v>0.8</v>
      </c>
      <c r="N304" s="18" t="e">
        <f>(E305+G305+I305+K305)/4</f>
        <v>#DIV/0!</v>
      </c>
    </row>
    <row r="305" spans="1:16" ht="15">
      <c r="B305"/>
      <c r="C305" s="2" t="s">
        <v>45</v>
      </c>
      <c r="D305" s="61">
        <f>D303/D304</f>
        <v>0.8</v>
      </c>
      <c r="E305" s="61" t="e">
        <f t="shared" ref="E305:K305" si="20">E303/E304</f>
        <v>#DIV/0!</v>
      </c>
      <c r="F305" s="61">
        <f t="shared" si="20"/>
        <v>0.8</v>
      </c>
      <c r="G305" s="61" t="e">
        <f t="shared" si="20"/>
        <v>#DIV/0!</v>
      </c>
      <c r="H305" s="61">
        <f t="shared" si="20"/>
        <v>0.8</v>
      </c>
      <c r="I305" s="61" t="e">
        <f t="shared" si="20"/>
        <v>#DIV/0!</v>
      </c>
      <c r="J305" s="61">
        <f t="shared" si="20"/>
        <v>0.8</v>
      </c>
      <c r="K305" s="61" t="e">
        <f t="shared" si="20"/>
        <v>#DIV/0!</v>
      </c>
      <c r="L305" s="4"/>
      <c r="M305" s="4"/>
      <c r="N305" s="4"/>
      <c r="O305" s="4"/>
      <c r="P305" s="4"/>
    </row>
    <row r="306" spans="1:16" s="22" customFormat="1">
      <c r="D306" s="62"/>
      <c r="E306" s="62"/>
      <c r="F306" s="62"/>
      <c r="G306" s="62"/>
      <c r="H306" s="62"/>
      <c r="I306" s="62"/>
      <c r="J306" s="62"/>
      <c r="K306" s="62"/>
    </row>
    <row r="307" spans="1:16" ht="18">
      <c r="B307" s="16" t="s">
        <v>52</v>
      </c>
      <c r="C307" s="23" t="s">
        <v>6</v>
      </c>
      <c r="D307" s="98" t="s">
        <v>7</v>
      </c>
      <c r="E307" s="99"/>
      <c r="F307" s="98" t="s">
        <v>8</v>
      </c>
      <c r="G307" s="99"/>
      <c r="H307" s="98" t="s">
        <v>9</v>
      </c>
      <c r="I307" s="99"/>
      <c r="J307" s="98" t="s">
        <v>10</v>
      </c>
      <c r="K307" s="99"/>
    </row>
    <row r="308" spans="1:16" s="1" customFormat="1" ht="15">
      <c r="A308" s="77" t="s">
        <v>11</v>
      </c>
      <c r="B308" s="77" t="s">
        <v>12</v>
      </c>
      <c r="C308" s="6" t="s">
        <v>13</v>
      </c>
      <c r="D308" s="42">
        <v>46236</v>
      </c>
      <c r="E308" s="55"/>
      <c r="F308" s="55">
        <v>46243</v>
      </c>
      <c r="G308" s="55"/>
      <c r="H308" s="55">
        <v>46250</v>
      </c>
      <c r="I308" s="55"/>
      <c r="J308" s="55">
        <v>46257</v>
      </c>
      <c r="K308" s="55"/>
      <c r="L308" s="80" t="s">
        <v>14</v>
      </c>
      <c r="M308" s="81"/>
      <c r="N308" s="81"/>
      <c r="O308" s="81"/>
      <c r="P308" s="81"/>
    </row>
    <row r="309" spans="1:16" s="1" customFormat="1" ht="15">
      <c r="A309" s="78"/>
      <c r="B309" s="78"/>
      <c r="C309" s="6"/>
      <c r="D309" s="54" t="s">
        <v>2</v>
      </c>
      <c r="E309" s="54" t="s">
        <v>15</v>
      </c>
      <c r="F309" s="54" t="s">
        <v>2</v>
      </c>
      <c r="G309" s="54" t="s">
        <v>15</v>
      </c>
      <c r="H309" s="54" t="s">
        <v>2</v>
      </c>
      <c r="I309" s="54" t="s">
        <v>15</v>
      </c>
      <c r="J309" s="54" t="s">
        <v>2</v>
      </c>
      <c r="K309" s="54" t="s">
        <v>15</v>
      </c>
      <c r="L309" s="80"/>
      <c r="M309" s="81"/>
      <c r="N309" s="81"/>
      <c r="O309" s="81"/>
      <c r="P309" s="81"/>
    </row>
    <row r="310" spans="1:16" s="1" customFormat="1" ht="15">
      <c r="A310" s="79"/>
      <c r="B310" s="79"/>
      <c r="C310" s="6" t="s">
        <v>16</v>
      </c>
      <c r="D310" s="38" t="s">
        <v>90</v>
      </c>
      <c r="E310" s="54"/>
      <c r="F310" s="54" t="s">
        <v>90</v>
      </c>
      <c r="G310" s="54"/>
      <c r="H310" s="54" t="s">
        <v>90</v>
      </c>
      <c r="I310" s="54"/>
      <c r="J310" s="54" t="s">
        <v>90</v>
      </c>
      <c r="K310" s="54"/>
      <c r="L310" s="80"/>
      <c r="M310" s="81"/>
      <c r="N310" s="81"/>
      <c r="O310" s="81"/>
      <c r="P310" s="81"/>
    </row>
    <row r="311" spans="1:16" ht="15">
      <c r="A311" s="82">
        <v>1</v>
      </c>
      <c r="B311" s="84" t="s">
        <v>17</v>
      </c>
      <c r="C311" s="85"/>
      <c r="D311" s="67">
        <v>4</v>
      </c>
      <c r="E311" s="56"/>
      <c r="F311" s="56">
        <v>4</v>
      </c>
      <c r="G311" s="56"/>
      <c r="H311" s="56">
        <v>4</v>
      </c>
      <c r="I311" s="56"/>
      <c r="J311" s="56">
        <v>4</v>
      </c>
      <c r="K311" s="56"/>
      <c r="L311" s="86"/>
      <c r="M311" s="86"/>
      <c r="N311" s="86"/>
      <c r="O311" s="86"/>
      <c r="P311" s="86"/>
    </row>
    <row r="312" spans="1:16" ht="15">
      <c r="A312" s="83"/>
      <c r="B312" s="87" t="s">
        <v>18</v>
      </c>
      <c r="C312" s="88"/>
      <c r="D312" s="39"/>
      <c r="E312" s="57"/>
      <c r="F312" s="57"/>
      <c r="G312" s="57"/>
      <c r="H312" s="57"/>
      <c r="I312" s="57"/>
      <c r="J312" s="57"/>
      <c r="K312" s="57"/>
      <c r="L312" s="86"/>
      <c r="M312" s="86"/>
      <c r="N312" s="86"/>
      <c r="O312" s="86"/>
      <c r="P312" s="86"/>
    </row>
    <row r="313" spans="1:16" ht="15">
      <c r="A313" s="72">
        <v>2</v>
      </c>
      <c r="B313" s="73" t="s">
        <v>19</v>
      </c>
      <c r="C313" s="73"/>
      <c r="D313" s="67">
        <v>4</v>
      </c>
      <c r="E313" s="56"/>
      <c r="F313" s="56">
        <v>4</v>
      </c>
      <c r="G313" s="56"/>
      <c r="H313" s="56">
        <v>4</v>
      </c>
      <c r="I313" s="56"/>
      <c r="J313" s="56">
        <v>4</v>
      </c>
      <c r="K313" s="56"/>
      <c r="L313" s="86"/>
      <c r="M313" s="86"/>
      <c r="N313" s="86"/>
      <c r="O313" s="86"/>
      <c r="P313" s="86"/>
    </row>
    <row r="314" spans="1:16" ht="15">
      <c r="A314" s="72"/>
      <c r="B314" s="70" t="s">
        <v>18</v>
      </c>
      <c r="C314" s="70"/>
      <c r="D314" s="39"/>
      <c r="E314" s="57"/>
      <c r="F314" s="57"/>
      <c r="G314" s="57"/>
      <c r="H314" s="57"/>
      <c r="I314" s="57"/>
      <c r="J314" s="57"/>
      <c r="K314" s="57"/>
      <c r="L314" s="86"/>
      <c r="M314" s="86"/>
      <c r="N314" s="86"/>
      <c r="O314" s="86"/>
      <c r="P314" s="86"/>
    </row>
    <row r="315" spans="1:16" ht="15">
      <c r="A315" s="72">
        <v>3</v>
      </c>
      <c r="B315" s="73" t="s">
        <v>20</v>
      </c>
      <c r="C315" s="73"/>
      <c r="D315" s="40"/>
      <c r="E315" s="58"/>
      <c r="F315" s="58"/>
      <c r="G315" s="58"/>
      <c r="H315" s="58"/>
      <c r="I315" s="58"/>
      <c r="J315" s="58"/>
      <c r="K315" s="58"/>
      <c r="L315" s="86"/>
      <c r="M315" s="86"/>
      <c r="N315" s="86"/>
      <c r="O315" s="86"/>
      <c r="P315" s="86"/>
    </row>
    <row r="316" spans="1:16" ht="15" customHeight="1">
      <c r="A316" s="72"/>
      <c r="B316" s="74" t="s">
        <v>21</v>
      </c>
      <c r="C316" s="74"/>
      <c r="D316" s="67">
        <v>4</v>
      </c>
      <c r="E316" s="56"/>
      <c r="F316" s="56">
        <v>4</v>
      </c>
      <c r="G316" s="56"/>
      <c r="H316" s="56">
        <v>4</v>
      </c>
      <c r="I316" s="56"/>
      <c r="J316" s="56">
        <v>4</v>
      </c>
      <c r="K316" s="56"/>
      <c r="L316" s="86"/>
      <c r="M316" s="86"/>
      <c r="N316" s="86"/>
      <c r="O316" s="86"/>
      <c r="P316" s="86"/>
    </row>
    <row r="317" spans="1:16" ht="15" customHeight="1">
      <c r="A317" s="72"/>
      <c r="B317" s="74" t="s">
        <v>22</v>
      </c>
      <c r="C317" s="74"/>
      <c r="D317" s="67">
        <v>4</v>
      </c>
      <c r="E317" s="56"/>
      <c r="F317" s="56">
        <v>4</v>
      </c>
      <c r="G317" s="56"/>
      <c r="H317" s="56">
        <v>4</v>
      </c>
      <c r="I317" s="56"/>
      <c r="J317" s="56">
        <v>4</v>
      </c>
      <c r="K317" s="56"/>
      <c r="L317" s="86"/>
      <c r="M317" s="86"/>
      <c r="N317" s="86"/>
      <c r="O317" s="86"/>
      <c r="P317" s="86"/>
    </row>
    <row r="318" spans="1:16" ht="15" customHeight="1">
      <c r="A318" s="72"/>
      <c r="B318" s="74" t="s">
        <v>23</v>
      </c>
      <c r="C318" s="74"/>
      <c r="D318" s="67">
        <v>4</v>
      </c>
      <c r="E318" s="56"/>
      <c r="F318" s="56">
        <v>4</v>
      </c>
      <c r="G318" s="56"/>
      <c r="H318" s="56">
        <v>4</v>
      </c>
      <c r="I318" s="56"/>
      <c r="J318" s="56">
        <v>4</v>
      </c>
      <c r="K318" s="56"/>
      <c r="L318" s="86"/>
      <c r="M318" s="86"/>
      <c r="N318" s="86"/>
      <c r="O318" s="86"/>
      <c r="P318" s="86"/>
    </row>
    <row r="319" spans="1:16" ht="15">
      <c r="A319" s="72"/>
      <c r="B319" s="70" t="s">
        <v>18</v>
      </c>
      <c r="C319" s="70"/>
      <c r="D319" s="39"/>
      <c r="E319" s="57"/>
      <c r="F319" s="57"/>
      <c r="G319" s="57"/>
      <c r="H319" s="57"/>
      <c r="I319" s="57"/>
      <c r="J319" s="57"/>
      <c r="K319" s="57"/>
      <c r="L319" s="86"/>
      <c r="M319" s="86"/>
      <c r="N319" s="86"/>
      <c r="O319" s="86"/>
      <c r="P319" s="86"/>
    </row>
    <row r="320" spans="1:16" ht="15">
      <c r="A320" s="72">
        <v>4</v>
      </c>
      <c r="B320" s="73" t="s">
        <v>24</v>
      </c>
      <c r="C320" s="73"/>
      <c r="D320" s="40"/>
      <c r="E320" s="58"/>
      <c r="F320" s="58"/>
      <c r="G320" s="58"/>
      <c r="H320" s="58"/>
      <c r="I320" s="58"/>
      <c r="J320" s="58"/>
      <c r="K320" s="58"/>
      <c r="L320" s="86"/>
      <c r="M320" s="86"/>
      <c r="N320" s="86"/>
      <c r="O320" s="86"/>
      <c r="P320" s="86"/>
    </row>
    <row r="321" spans="1:16" ht="15" customHeight="1">
      <c r="A321" s="72"/>
      <c r="B321" s="74" t="s">
        <v>25</v>
      </c>
      <c r="C321" s="74"/>
      <c r="D321" s="67">
        <v>4</v>
      </c>
      <c r="E321" s="56"/>
      <c r="F321" s="56">
        <v>4</v>
      </c>
      <c r="G321" s="56"/>
      <c r="H321" s="56">
        <v>4</v>
      </c>
      <c r="I321" s="56"/>
      <c r="J321" s="56">
        <v>4</v>
      </c>
      <c r="K321" s="56"/>
      <c r="L321" s="86"/>
      <c r="M321" s="86"/>
      <c r="N321" s="86"/>
      <c r="O321" s="86"/>
      <c r="P321" s="86"/>
    </row>
    <row r="322" spans="1:16" ht="15" customHeight="1">
      <c r="A322" s="72"/>
      <c r="B322" s="74" t="s">
        <v>26</v>
      </c>
      <c r="C322" s="74"/>
      <c r="D322" s="67">
        <v>4</v>
      </c>
      <c r="E322" s="56"/>
      <c r="F322" s="56">
        <v>4</v>
      </c>
      <c r="G322" s="56"/>
      <c r="H322" s="56">
        <v>4</v>
      </c>
      <c r="I322" s="56"/>
      <c r="J322" s="56">
        <v>4</v>
      </c>
      <c r="K322" s="56"/>
      <c r="L322" s="86"/>
      <c r="M322" s="86"/>
      <c r="N322" s="86"/>
      <c r="O322" s="86"/>
      <c r="P322" s="86"/>
    </row>
    <row r="323" spans="1:16" ht="15">
      <c r="A323" s="72"/>
      <c r="B323" s="70" t="s">
        <v>18</v>
      </c>
      <c r="C323" s="70"/>
      <c r="D323" s="39"/>
      <c r="E323" s="57"/>
      <c r="F323" s="57"/>
      <c r="G323" s="57"/>
      <c r="H323" s="57"/>
      <c r="I323" s="57"/>
      <c r="J323" s="57"/>
      <c r="K323" s="57"/>
      <c r="L323" s="86"/>
      <c r="M323" s="86"/>
      <c r="N323" s="86"/>
      <c r="O323" s="86"/>
      <c r="P323" s="86"/>
    </row>
    <row r="324" spans="1:16" ht="15">
      <c r="A324" s="72">
        <v>5</v>
      </c>
      <c r="B324" s="73" t="s">
        <v>27</v>
      </c>
      <c r="C324" s="73"/>
      <c r="D324" s="67">
        <v>4</v>
      </c>
      <c r="E324" s="56"/>
      <c r="F324" s="56">
        <v>4</v>
      </c>
      <c r="G324" s="56"/>
      <c r="H324" s="56">
        <v>4</v>
      </c>
      <c r="I324" s="56"/>
      <c r="J324" s="56">
        <v>4</v>
      </c>
      <c r="K324" s="56"/>
      <c r="L324" s="86"/>
      <c r="M324" s="86"/>
      <c r="N324" s="86"/>
      <c r="O324" s="86"/>
      <c r="P324" s="86"/>
    </row>
    <row r="325" spans="1:16" ht="15">
      <c r="A325" s="72"/>
      <c r="B325" s="70" t="s">
        <v>18</v>
      </c>
      <c r="C325" s="70"/>
      <c r="D325" s="39"/>
      <c r="E325" s="57"/>
      <c r="F325" s="57"/>
      <c r="G325" s="57"/>
      <c r="H325" s="57"/>
      <c r="I325" s="57"/>
      <c r="J325" s="57"/>
      <c r="K325" s="57"/>
      <c r="L325" s="86"/>
      <c r="M325" s="86"/>
      <c r="N325" s="86"/>
      <c r="O325" s="86"/>
      <c r="P325" s="86"/>
    </row>
    <row r="326" spans="1:16" ht="15">
      <c r="A326" s="72">
        <v>6</v>
      </c>
      <c r="B326" s="73" t="s">
        <v>28</v>
      </c>
      <c r="C326" s="73"/>
      <c r="D326" s="40"/>
      <c r="E326" s="58"/>
      <c r="F326" s="58"/>
      <c r="G326" s="58"/>
      <c r="H326" s="58"/>
      <c r="I326" s="58"/>
      <c r="J326" s="58"/>
      <c r="K326" s="58"/>
      <c r="L326" s="86"/>
      <c r="M326" s="86"/>
      <c r="N326" s="86"/>
      <c r="O326" s="86"/>
      <c r="P326" s="86"/>
    </row>
    <row r="327" spans="1:16" ht="15" customHeight="1">
      <c r="A327" s="72"/>
      <c r="B327" s="74" t="s">
        <v>29</v>
      </c>
      <c r="C327" s="74"/>
      <c r="D327" s="67">
        <v>4</v>
      </c>
      <c r="E327" s="56"/>
      <c r="F327" s="56">
        <v>4</v>
      </c>
      <c r="G327" s="56"/>
      <c r="H327" s="56">
        <v>4</v>
      </c>
      <c r="I327" s="56"/>
      <c r="J327" s="56">
        <v>4</v>
      </c>
      <c r="K327" s="56"/>
      <c r="L327" s="86"/>
      <c r="M327" s="86"/>
      <c r="N327" s="86"/>
      <c r="O327" s="86"/>
      <c r="P327" s="86"/>
    </row>
    <row r="328" spans="1:16" ht="15" customHeight="1">
      <c r="A328" s="72"/>
      <c r="B328" s="74" t="s">
        <v>30</v>
      </c>
      <c r="C328" s="74"/>
      <c r="D328" s="67">
        <v>4</v>
      </c>
      <c r="E328" s="56"/>
      <c r="F328" s="56">
        <v>4</v>
      </c>
      <c r="G328" s="56"/>
      <c r="H328" s="56">
        <v>4</v>
      </c>
      <c r="I328" s="56"/>
      <c r="J328" s="56">
        <v>4</v>
      </c>
      <c r="K328" s="56"/>
      <c r="L328" s="86"/>
      <c r="M328" s="86"/>
      <c r="N328" s="86"/>
      <c r="O328" s="86"/>
      <c r="P328" s="86"/>
    </row>
    <row r="329" spans="1:16" ht="15" customHeight="1">
      <c r="A329" s="72"/>
      <c r="B329" s="74" t="s">
        <v>31</v>
      </c>
      <c r="C329" s="74"/>
      <c r="D329" s="67">
        <v>4</v>
      </c>
      <c r="E329" s="56"/>
      <c r="F329" s="56">
        <v>4</v>
      </c>
      <c r="G329" s="56"/>
      <c r="H329" s="56">
        <v>4</v>
      </c>
      <c r="I329" s="56"/>
      <c r="J329" s="56">
        <v>4</v>
      </c>
      <c r="K329" s="56"/>
      <c r="L329" s="86"/>
      <c r="M329" s="86"/>
      <c r="N329" s="86"/>
      <c r="O329" s="86"/>
      <c r="P329" s="86"/>
    </row>
    <row r="330" spans="1:16" ht="15" customHeight="1">
      <c r="A330" s="72"/>
      <c r="B330" s="74" t="s">
        <v>32</v>
      </c>
      <c r="C330" s="74"/>
      <c r="D330" s="67">
        <v>4</v>
      </c>
      <c r="E330" s="56"/>
      <c r="F330" s="56">
        <v>4</v>
      </c>
      <c r="G330" s="56"/>
      <c r="H330" s="56">
        <v>4</v>
      </c>
      <c r="I330" s="56"/>
      <c r="J330" s="56">
        <v>4</v>
      </c>
      <c r="K330" s="56"/>
      <c r="L330" s="86"/>
      <c r="M330" s="86"/>
      <c r="N330" s="86"/>
      <c r="O330" s="86"/>
      <c r="P330" s="86"/>
    </row>
    <row r="331" spans="1:16" ht="15" customHeight="1">
      <c r="A331" s="72"/>
      <c r="B331" s="74" t="s">
        <v>33</v>
      </c>
      <c r="C331" s="74"/>
      <c r="D331" s="67">
        <v>4</v>
      </c>
      <c r="E331" s="56"/>
      <c r="F331" s="56">
        <v>4</v>
      </c>
      <c r="G331" s="56"/>
      <c r="H331" s="56">
        <v>4</v>
      </c>
      <c r="I331" s="56"/>
      <c r="J331" s="56">
        <v>4</v>
      </c>
      <c r="K331" s="56"/>
      <c r="L331" s="86"/>
      <c r="M331" s="86"/>
      <c r="N331" s="86"/>
      <c r="O331" s="86"/>
      <c r="P331" s="86"/>
    </row>
    <row r="332" spans="1:16" ht="15">
      <c r="A332" s="72"/>
      <c r="B332" s="70" t="s">
        <v>18</v>
      </c>
      <c r="C332" s="70"/>
      <c r="D332" s="39"/>
      <c r="E332" s="57"/>
      <c r="F332" s="57"/>
      <c r="G332" s="57"/>
      <c r="H332" s="57"/>
      <c r="I332" s="57"/>
      <c r="J332" s="57"/>
      <c r="K332" s="57"/>
      <c r="L332" s="86"/>
      <c r="M332" s="86"/>
      <c r="N332" s="86"/>
      <c r="O332" s="86"/>
      <c r="P332" s="86"/>
    </row>
    <row r="333" spans="1:16" ht="15">
      <c r="A333" s="72">
        <v>7</v>
      </c>
      <c r="B333" s="73" t="s">
        <v>34</v>
      </c>
      <c r="C333" s="73"/>
      <c r="D333" s="40"/>
      <c r="E333" s="58"/>
      <c r="F333" s="58"/>
      <c r="G333" s="58"/>
      <c r="H333" s="58"/>
      <c r="I333" s="58"/>
      <c r="J333" s="58"/>
      <c r="K333" s="58"/>
      <c r="L333" s="86"/>
      <c r="M333" s="86"/>
      <c r="N333" s="86"/>
      <c r="O333" s="86"/>
      <c r="P333" s="86"/>
    </row>
    <row r="334" spans="1:16" ht="15" customHeight="1">
      <c r="A334" s="72"/>
      <c r="B334" s="74" t="s">
        <v>35</v>
      </c>
      <c r="C334" s="74"/>
      <c r="D334" s="67">
        <v>4</v>
      </c>
      <c r="E334" s="56"/>
      <c r="F334" s="56">
        <v>4</v>
      </c>
      <c r="G334" s="56"/>
      <c r="H334" s="56">
        <v>4</v>
      </c>
      <c r="I334" s="56"/>
      <c r="J334" s="56">
        <v>4</v>
      </c>
      <c r="K334" s="56"/>
      <c r="L334" s="86"/>
      <c r="M334" s="86"/>
      <c r="N334" s="86"/>
      <c r="O334" s="86"/>
      <c r="P334" s="86"/>
    </row>
    <row r="335" spans="1:16" ht="15" customHeight="1">
      <c r="A335" s="72"/>
      <c r="B335" s="74" t="s">
        <v>36</v>
      </c>
      <c r="C335" s="74"/>
      <c r="D335" s="67">
        <v>4</v>
      </c>
      <c r="E335" s="56"/>
      <c r="F335" s="56">
        <v>4</v>
      </c>
      <c r="G335" s="56"/>
      <c r="H335" s="56">
        <v>4</v>
      </c>
      <c r="I335" s="56"/>
      <c r="J335" s="56">
        <v>4</v>
      </c>
      <c r="K335" s="56"/>
      <c r="L335" s="86"/>
      <c r="M335" s="86"/>
      <c r="N335" s="86"/>
      <c r="O335" s="86"/>
      <c r="P335" s="86"/>
    </row>
    <row r="336" spans="1:16" ht="15" customHeight="1">
      <c r="A336" s="72"/>
      <c r="B336" s="74" t="s">
        <v>37</v>
      </c>
      <c r="C336" s="74"/>
      <c r="D336" s="67">
        <v>4</v>
      </c>
      <c r="E336" s="56"/>
      <c r="F336" s="56">
        <v>4</v>
      </c>
      <c r="G336" s="56"/>
      <c r="H336" s="56">
        <v>4</v>
      </c>
      <c r="I336" s="56"/>
      <c r="J336" s="56">
        <v>4</v>
      </c>
      <c r="K336" s="56"/>
      <c r="L336" s="86"/>
      <c r="M336" s="86"/>
      <c r="N336" s="86"/>
      <c r="O336" s="86"/>
      <c r="P336" s="86"/>
    </row>
    <row r="337" spans="1:16" ht="15" customHeight="1">
      <c r="A337" s="72"/>
      <c r="B337" s="74" t="s">
        <v>38</v>
      </c>
      <c r="C337" s="74"/>
      <c r="D337" s="67"/>
      <c r="E337" s="56"/>
      <c r="F337" s="56"/>
      <c r="G337" s="56"/>
      <c r="H337" s="56"/>
      <c r="I337" s="56"/>
      <c r="J337" s="56"/>
      <c r="K337" s="56"/>
      <c r="L337" s="86"/>
      <c r="M337" s="86"/>
      <c r="N337" s="86"/>
      <c r="O337" s="86"/>
      <c r="P337" s="86"/>
    </row>
    <row r="338" spans="1:16" ht="15" customHeight="1">
      <c r="A338" s="72"/>
      <c r="B338" s="74" t="s">
        <v>39</v>
      </c>
      <c r="C338" s="74"/>
      <c r="D338" s="67">
        <v>4</v>
      </c>
      <c r="E338" s="56"/>
      <c r="F338" s="56">
        <v>4</v>
      </c>
      <c r="G338" s="56"/>
      <c r="H338" s="56">
        <v>4</v>
      </c>
      <c r="I338" s="56"/>
      <c r="J338" s="56">
        <v>4</v>
      </c>
      <c r="K338" s="56"/>
      <c r="L338" s="86"/>
      <c r="M338" s="86"/>
      <c r="N338" s="86"/>
      <c r="O338" s="86"/>
      <c r="P338" s="86"/>
    </row>
    <row r="339" spans="1:16" ht="15" customHeight="1">
      <c r="A339" s="72"/>
      <c r="B339" s="74" t="s">
        <v>40</v>
      </c>
      <c r="C339" s="74"/>
      <c r="D339" s="67">
        <v>4</v>
      </c>
      <c r="E339" s="56"/>
      <c r="F339" s="56">
        <v>4</v>
      </c>
      <c r="G339" s="56"/>
      <c r="H339" s="56">
        <v>4</v>
      </c>
      <c r="I339" s="56"/>
      <c r="J339" s="56">
        <v>4</v>
      </c>
      <c r="K339" s="56"/>
      <c r="L339" s="86"/>
      <c r="M339" s="86"/>
      <c r="N339" s="86"/>
      <c r="O339" s="86"/>
      <c r="P339" s="86"/>
    </row>
    <row r="340" spans="1:16" ht="15" customHeight="1">
      <c r="A340" s="72"/>
      <c r="B340" s="74" t="s">
        <v>41</v>
      </c>
      <c r="C340" s="74"/>
      <c r="D340" s="67"/>
      <c r="E340" s="56"/>
      <c r="F340" s="56"/>
      <c r="G340" s="56"/>
      <c r="H340" s="56"/>
      <c r="I340" s="56"/>
      <c r="J340" s="56"/>
      <c r="K340" s="56"/>
      <c r="L340" s="86"/>
      <c r="M340" s="86"/>
      <c r="N340" s="86"/>
      <c r="O340" s="86"/>
      <c r="P340" s="86"/>
    </row>
    <row r="341" spans="1:16" ht="15" customHeight="1">
      <c r="A341" s="72"/>
      <c r="B341" s="74" t="s">
        <v>42</v>
      </c>
      <c r="C341" s="74"/>
      <c r="D341" s="67"/>
      <c r="E341" s="56"/>
      <c r="F341" s="56"/>
      <c r="G341" s="56"/>
      <c r="H341" s="56"/>
      <c r="I341" s="56"/>
      <c r="J341" s="56"/>
      <c r="K341" s="56"/>
      <c r="L341" s="86"/>
      <c r="M341" s="86"/>
      <c r="N341" s="86"/>
      <c r="O341" s="86"/>
      <c r="P341" s="86"/>
    </row>
    <row r="342" spans="1:16" ht="15" customHeight="1">
      <c r="A342" s="72"/>
      <c r="B342" s="68" t="s">
        <v>43</v>
      </c>
      <c r="C342" s="69"/>
      <c r="D342" s="67"/>
      <c r="E342" s="56"/>
      <c r="F342" s="56"/>
      <c r="G342" s="56"/>
      <c r="H342" s="56"/>
      <c r="I342" s="56"/>
      <c r="J342" s="56"/>
      <c r="K342" s="56"/>
      <c r="L342" s="86"/>
      <c r="M342" s="86"/>
      <c r="N342" s="86"/>
      <c r="O342" s="86"/>
      <c r="P342" s="86"/>
    </row>
    <row r="343" spans="1:16" ht="15">
      <c r="A343" s="72"/>
      <c r="B343" s="70" t="s">
        <v>18</v>
      </c>
      <c r="C343" s="70"/>
      <c r="D343" s="39"/>
      <c r="E343" s="57"/>
      <c r="F343" s="57"/>
      <c r="G343" s="57"/>
      <c r="H343" s="57"/>
      <c r="I343" s="57"/>
      <c r="J343" s="57"/>
      <c r="K343" s="57"/>
      <c r="L343" s="86"/>
      <c r="M343" s="86"/>
      <c r="N343" s="86"/>
      <c r="O343" s="86"/>
      <c r="P343" s="86"/>
    </row>
    <row r="344" spans="1:16">
      <c r="B344"/>
    </row>
    <row r="345" spans="1:16" ht="15">
      <c r="B345" s="71" t="s">
        <v>44</v>
      </c>
      <c r="C345" s="71"/>
      <c r="D345" s="1">
        <f>SUM(D311:D342)</f>
        <v>72</v>
      </c>
      <c r="E345" s="1">
        <f t="shared" ref="E345:K345" si="21">SUM(E311:E342)</f>
        <v>0</v>
      </c>
      <c r="F345" s="1">
        <f t="shared" si="21"/>
        <v>72</v>
      </c>
      <c r="G345" s="1">
        <f t="shared" si="21"/>
        <v>0</v>
      </c>
      <c r="H345" s="1">
        <f t="shared" si="21"/>
        <v>72</v>
      </c>
      <c r="I345" s="1">
        <f t="shared" si="21"/>
        <v>0</v>
      </c>
      <c r="J345" s="1">
        <f t="shared" si="21"/>
        <v>72</v>
      </c>
      <c r="K345" s="1">
        <f t="shared" si="21"/>
        <v>0</v>
      </c>
      <c r="M345" s="17" t="s">
        <v>2</v>
      </c>
      <c r="N345" s="17" t="s">
        <v>3</v>
      </c>
    </row>
    <row r="346" spans="1:16" ht="15">
      <c r="B346"/>
      <c r="C346" s="64"/>
      <c r="D346" s="1">
        <f>COUNT(D311:D343)*5</f>
        <v>90</v>
      </c>
      <c r="E346" s="1">
        <f t="shared" ref="E346:K346" si="22">COUNT(E311:E343)*5</f>
        <v>0</v>
      </c>
      <c r="F346" s="1">
        <f t="shared" si="22"/>
        <v>90</v>
      </c>
      <c r="G346" s="1">
        <f t="shared" si="22"/>
        <v>0</v>
      </c>
      <c r="H346" s="1">
        <f t="shared" si="22"/>
        <v>90</v>
      </c>
      <c r="I346" s="1">
        <f t="shared" si="22"/>
        <v>0</v>
      </c>
      <c r="J346" s="1">
        <f t="shared" si="22"/>
        <v>90</v>
      </c>
      <c r="K346" s="1">
        <f t="shared" si="22"/>
        <v>0</v>
      </c>
      <c r="M346" s="18">
        <f>(D347+F347+H347+J347)/4</f>
        <v>0.8</v>
      </c>
      <c r="N346" s="18" t="e">
        <f>(E347+G347+I347+K347)/4</f>
        <v>#DIV/0!</v>
      </c>
    </row>
    <row r="347" spans="1:16" ht="15">
      <c r="B347"/>
      <c r="C347" s="2" t="s">
        <v>45</v>
      </c>
      <c r="D347" s="11">
        <f>D345/D346</f>
        <v>0.8</v>
      </c>
      <c r="E347" s="11" t="e">
        <f t="shared" ref="E347:K347" si="23">E345/E346</f>
        <v>#DIV/0!</v>
      </c>
      <c r="F347" s="11">
        <f t="shared" si="23"/>
        <v>0.8</v>
      </c>
      <c r="G347" s="11" t="e">
        <f t="shared" si="23"/>
        <v>#DIV/0!</v>
      </c>
      <c r="H347" s="11">
        <f t="shared" si="23"/>
        <v>0.8</v>
      </c>
      <c r="I347" s="11" t="e">
        <f t="shared" si="23"/>
        <v>#DIV/0!</v>
      </c>
      <c r="J347" s="11">
        <f t="shared" si="23"/>
        <v>0.8</v>
      </c>
      <c r="K347" s="11" t="e">
        <f t="shared" si="23"/>
        <v>#DIV/0!</v>
      </c>
      <c r="L347" s="4"/>
      <c r="M347" s="4"/>
      <c r="N347" s="4"/>
      <c r="O347" s="4"/>
      <c r="P347" s="4"/>
    </row>
    <row r="348" spans="1:16" s="22" customFormat="1"/>
    <row r="349" spans="1:16" ht="18">
      <c r="B349" s="16" t="s">
        <v>53</v>
      </c>
      <c r="C349" s="23" t="s">
        <v>6</v>
      </c>
      <c r="D349" s="75" t="s">
        <v>7</v>
      </c>
      <c r="E349" s="76"/>
      <c r="F349" s="75" t="s">
        <v>8</v>
      </c>
      <c r="G349" s="76"/>
      <c r="H349" s="75" t="s">
        <v>9</v>
      </c>
      <c r="I349" s="76"/>
      <c r="J349" s="75" t="s">
        <v>10</v>
      </c>
      <c r="K349" s="76"/>
    </row>
    <row r="350" spans="1:16" s="1" customFormat="1" ht="15">
      <c r="A350" s="77" t="s">
        <v>11</v>
      </c>
      <c r="B350" s="77" t="s">
        <v>12</v>
      </c>
      <c r="C350" s="6" t="s">
        <v>13</v>
      </c>
      <c r="D350" s="41">
        <v>46271</v>
      </c>
      <c r="E350" s="29"/>
      <c r="F350" s="29">
        <v>46278</v>
      </c>
      <c r="G350" s="29"/>
      <c r="H350" s="29">
        <v>46285</v>
      </c>
      <c r="I350" s="29"/>
      <c r="J350" s="29">
        <v>46292</v>
      </c>
      <c r="K350" s="29"/>
      <c r="L350" s="80" t="s">
        <v>14</v>
      </c>
      <c r="M350" s="81"/>
      <c r="N350" s="81"/>
      <c r="O350" s="81"/>
      <c r="P350" s="81"/>
    </row>
    <row r="351" spans="1:16" s="1" customFormat="1" ht="15">
      <c r="A351" s="78"/>
      <c r="B351" s="78"/>
      <c r="C351" s="6"/>
      <c r="D351" s="7" t="s">
        <v>2</v>
      </c>
      <c r="E351" s="7" t="s">
        <v>15</v>
      </c>
      <c r="F351" s="7" t="s">
        <v>2</v>
      </c>
      <c r="G351" s="7" t="s">
        <v>15</v>
      </c>
      <c r="H351" s="7" t="s">
        <v>2</v>
      </c>
      <c r="I351" s="7" t="s">
        <v>15</v>
      </c>
      <c r="J351" s="7" t="s">
        <v>2</v>
      </c>
      <c r="K351" s="7" t="s">
        <v>15</v>
      </c>
      <c r="L351" s="80"/>
      <c r="M351" s="81"/>
      <c r="N351" s="81"/>
      <c r="O351" s="81"/>
      <c r="P351" s="81"/>
    </row>
    <row r="352" spans="1:16" s="1" customFormat="1" ht="15">
      <c r="A352" s="79"/>
      <c r="B352" s="79"/>
      <c r="C352" s="6" t="s">
        <v>16</v>
      </c>
      <c r="D352" s="38" t="s">
        <v>90</v>
      </c>
      <c r="E352" s="6"/>
      <c r="F352" s="6" t="s">
        <v>90</v>
      </c>
      <c r="G352" s="6"/>
      <c r="H352" s="6" t="s">
        <v>90</v>
      </c>
      <c r="I352" s="6"/>
      <c r="J352" s="6" t="s">
        <v>90</v>
      </c>
      <c r="K352" s="6"/>
      <c r="L352" s="80"/>
      <c r="M352" s="81"/>
      <c r="N352" s="81"/>
      <c r="O352" s="81"/>
      <c r="P352" s="81"/>
    </row>
    <row r="353" spans="1:16" ht="15">
      <c r="A353" s="82">
        <v>1</v>
      </c>
      <c r="B353" s="84" t="s">
        <v>17</v>
      </c>
      <c r="C353" s="85"/>
      <c r="D353" s="67"/>
      <c r="E353" s="8"/>
      <c r="F353" s="8"/>
      <c r="G353" s="8"/>
      <c r="H353" s="8"/>
      <c r="I353" s="8"/>
      <c r="J353" s="8"/>
      <c r="K353" s="8"/>
      <c r="L353" s="86"/>
      <c r="M353" s="86"/>
      <c r="N353" s="86"/>
      <c r="O353" s="86"/>
      <c r="P353" s="86"/>
    </row>
    <row r="354" spans="1:16" ht="15">
      <c r="A354" s="83"/>
      <c r="B354" s="87" t="s">
        <v>18</v>
      </c>
      <c r="C354" s="88"/>
      <c r="D354" s="39"/>
      <c r="E354" s="9"/>
      <c r="F354" s="9"/>
      <c r="G354" s="9"/>
      <c r="H354" s="9"/>
      <c r="I354" s="9"/>
      <c r="J354" s="9"/>
      <c r="K354" s="9"/>
      <c r="L354" s="86"/>
      <c r="M354" s="86"/>
      <c r="N354" s="86"/>
      <c r="O354" s="86"/>
      <c r="P354" s="86"/>
    </row>
    <row r="355" spans="1:16" ht="15">
      <c r="A355" s="72">
        <v>2</v>
      </c>
      <c r="B355" s="73" t="s">
        <v>19</v>
      </c>
      <c r="C355" s="73"/>
      <c r="D355" s="67"/>
      <c r="E355" s="8"/>
      <c r="F355" s="8"/>
      <c r="G355" s="8"/>
      <c r="H355" s="8"/>
      <c r="I355" s="8"/>
      <c r="J355" s="8"/>
      <c r="K355" s="8"/>
      <c r="L355" s="86"/>
      <c r="M355" s="86"/>
      <c r="N355" s="86"/>
      <c r="O355" s="86"/>
      <c r="P355" s="86"/>
    </row>
    <row r="356" spans="1:16" ht="15">
      <c r="A356" s="72"/>
      <c r="B356" s="70" t="s">
        <v>18</v>
      </c>
      <c r="C356" s="70"/>
      <c r="D356" s="39"/>
      <c r="E356" s="9"/>
      <c r="F356" s="9"/>
      <c r="G356" s="9"/>
      <c r="H356" s="9"/>
      <c r="I356" s="9"/>
      <c r="J356" s="9"/>
      <c r="K356" s="9"/>
      <c r="L356" s="86"/>
      <c r="M356" s="86"/>
      <c r="N356" s="86"/>
      <c r="O356" s="86"/>
      <c r="P356" s="86"/>
    </row>
    <row r="357" spans="1:16" ht="15">
      <c r="A357" s="72">
        <v>3</v>
      </c>
      <c r="B357" s="73" t="s">
        <v>20</v>
      </c>
      <c r="C357" s="73"/>
      <c r="D357" s="40"/>
      <c r="E357" s="10"/>
      <c r="F357" s="10"/>
      <c r="G357" s="10"/>
      <c r="H357" s="10"/>
      <c r="I357" s="10"/>
      <c r="J357" s="10"/>
      <c r="K357" s="10"/>
      <c r="L357" s="86"/>
      <c r="M357" s="86"/>
      <c r="N357" s="86"/>
      <c r="O357" s="86"/>
      <c r="P357" s="86"/>
    </row>
    <row r="358" spans="1:16" ht="15" customHeight="1">
      <c r="A358" s="72"/>
      <c r="B358" s="74" t="s">
        <v>21</v>
      </c>
      <c r="C358" s="74"/>
      <c r="D358" s="67"/>
      <c r="E358" s="8"/>
      <c r="F358" s="8"/>
      <c r="G358" s="8"/>
      <c r="H358" s="8"/>
      <c r="I358" s="8"/>
      <c r="J358" s="8"/>
      <c r="K358" s="8"/>
      <c r="L358" s="86"/>
      <c r="M358" s="86"/>
      <c r="N358" s="86"/>
      <c r="O358" s="86"/>
      <c r="P358" s="86"/>
    </row>
    <row r="359" spans="1:16" ht="15" customHeight="1">
      <c r="A359" s="72"/>
      <c r="B359" s="74" t="s">
        <v>22</v>
      </c>
      <c r="C359" s="74"/>
      <c r="D359" s="67"/>
      <c r="E359" s="8"/>
      <c r="F359" s="8"/>
      <c r="G359" s="8"/>
      <c r="H359" s="8"/>
      <c r="I359" s="8"/>
      <c r="J359" s="8"/>
      <c r="K359" s="8"/>
      <c r="L359" s="86"/>
      <c r="M359" s="86"/>
      <c r="N359" s="86"/>
      <c r="O359" s="86"/>
      <c r="P359" s="86"/>
    </row>
    <row r="360" spans="1:16" ht="15" customHeight="1">
      <c r="A360" s="72"/>
      <c r="B360" s="74" t="s">
        <v>23</v>
      </c>
      <c r="C360" s="74"/>
      <c r="D360" s="67"/>
      <c r="E360" s="8"/>
      <c r="F360" s="8"/>
      <c r="G360" s="8"/>
      <c r="H360" s="8"/>
      <c r="I360" s="8"/>
      <c r="J360" s="8"/>
      <c r="K360" s="8"/>
      <c r="L360" s="86"/>
      <c r="M360" s="86"/>
      <c r="N360" s="86"/>
      <c r="O360" s="86"/>
      <c r="P360" s="86"/>
    </row>
    <row r="361" spans="1:16" ht="15">
      <c r="A361" s="72"/>
      <c r="B361" s="70" t="s">
        <v>18</v>
      </c>
      <c r="C361" s="70"/>
      <c r="D361" s="39"/>
      <c r="E361" s="9"/>
      <c r="F361" s="9"/>
      <c r="G361" s="9"/>
      <c r="H361" s="9"/>
      <c r="I361" s="9"/>
      <c r="J361" s="9"/>
      <c r="K361" s="9"/>
      <c r="L361" s="86"/>
      <c r="M361" s="86"/>
      <c r="N361" s="86"/>
      <c r="O361" s="86"/>
      <c r="P361" s="86"/>
    </row>
    <row r="362" spans="1:16" ht="15">
      <c r="A362" s="72">
        <v>4</v>
      </c>
      <c r="B362" s="73" t="s">
        <v>24</v>
      </c>
      <c r="C362" s="73"/>
      <c r="D362" s="40"/>
      <c r="E362" s="10"/>
      <c r="F362" s="10"/>
      <c r="G362" s="10"/>
      <c r="H362" s="10"/>
      <c r="I362" s="10"/>
      <c r="J362" s="10"/>
      <c r="K362" s="10"/>
      <c r="L362" s="86"/>
      <c r="M362" s="86"/>
      <c r="N362" s="86"/>
      <c r="O362" s="86"/>
      <c r="P362" s="86"/>
    </row>
    <row r="363" spans="1:16" ht="15" customHeight="1">
      <c r="A363" s="72"/>
      <c r="B363" s="74" t="s">
        <v>25</v>
      </c>
      <c r="C363" s="74"/>
      <c r="D363" s="67"/>
      <c r="E363" s="8"/>
      <c r="F363" s="8"/>
      <c r="G363" s="8"/>
      <c r="H363" s="8"/>
      <c r="I363" s="8"/>
      <c r="J363" s="8"/>
      <c r="K363" s="8"/>
      <c r="L363" s="86"/>
      <c r="M363" s="86"/>
      <c r="N363" s="86"/>
      <c r="O363" s="86"/>
      <c r="P363" s="86"/>
    </row>
    <row r="364" spans="1:16" ht="15" customHeight="1">
      <c r="A364" s="72"/>
      <c r="B364" s="74" t="s">
        <v>26</v>
      </c>
      <c r="C364" s="74"/>
      <c r="D364" s="67"/>
      <c r="E364" s="8"/>
      <c r="F364" s="8"/>
      <c r="G364" s="8"/>
      <c r="H364" s="8"/>
      <c r="I364" s="8"/>
      <c r="J364" s="8"/>
      <c r="K364" s="8"/>
      <c r="L364" s="86"/>
      <c r="M364" s="86"/>
      <c r="N364" s="86"/>
      <c r="O364" s="86"/>
      <c r="P364" s="86"/>
    </row>
    <row r="365" spans="1:16" ht="15">
      <c r="A365" s="72"/>
      <c r="B365" s="70" t="s">
        <v>18</v>
      </c>
      <c r="C365" s="70"/>
      <c r="D365" s="39"/>
      <c r="E365" s="9"/>
      <c r="F365" s="9"/>
      <c r="G365" s="9"/>
      <c r="H365" s="9"/>
      <c r="I365" s="9"/>
      <c r="J365" s="9"/>
      <c r="K365" s="9"/>
      <c r="L365" s="86"/>
      <c r="M365" s="86"/>
      <c r="N365" s="86"/>
      <c r="O365" s="86"/>
      <c r="P365" s="86"/>
    </row>
    <row r="366" spans="1:16" ht="15">
      <c r="A366" s="72">
        <v>5</v>
      </c>
      <c r="B366" s="73" t="s">
        <v>27</v>
      </c>
      <c r="C366" s="73"/>
      <c r="D366" s="67"/>
      <c r="E366" s="8"/>
      <c r="F366" s="8"/>
      <c r="G366" s="8"/>
      <c r="H366" s="8"/>
      <c r="I366" s="8"/>
      <c r="J366" s="8"/>
      <c r="K366" s="8"/>
      <c r="L366" s="86"/>
      <c r="M366" s="86"/>
      <c r="N366" s="86"/>
      <c r="O366" s="86"/>
      <c r="P366" s="86"/>
    </row>
    <row r="367" spans="1:16" ht="15">
      <c r="A367" s="72"/>
      <c r="B367" s="70" t="s">
        <v>18</v>
      </c>
      <c r="C367" s="70"/>
      <c r="D367" s="39"/>
      <c r="E367" s="9"/>
      <c r="F367" s="9"/>
      <c r="G367" s="9"/>
      <c r="H367" s="9"/>
      <c r="I367" s="9"/>
      <c r="J367" s="9"/>
      <c r="K367" s="9"/>
      <c r="L367" s="86"/>
      <c r="M367" s="86"/>
      <c r="N367" s="86"/>
      <c r="O367" s="86"/>
      <c r="P367" s="86"/>
    </row>
    <row r="368" spans="1:16" ht="15">
      <c r="A368" s="72">
        <v>6</v>
      </c>
      <c r="B368" s="73" t="s">
        <v>28</v>
      </c>
      <c r="C368" s="73"/>
      <c r="D368" s="40"/>
      <c r="E368" s="10"/>
      <c r="F368" s="10"/>
      <c r="G368" s="10"/>
      <c r="H368" s="10"/>
      <c r="I368" s="10"/>
      <c r="J368" s="10"/>
      <c r="K368" s="10"/>
      <c r="L368" s="86"/>
      <c r="M368" s="86"/>
      <c r="N368" s="86"/>
      <c r="O368" s="86"/>
      <c r="P368" s="86"/>
    </row>
    <row r="369" spans="1:16" ht="15" customHeight="1">
      <c r="A369" s="72"/>
      <c r="B369" s="74" t="s">
        <v>29</v>
      </c>
      <c r="C369" s="74"/>
      <c r="D369" s="67"/>
      <c r="E369" s="8"/>
      <c r="F369" s="8"/>
      <c r="G369" s="8"/>
      <c r="H369" s="8"/>
      <c r="I369" s="8"/>
      <c r="J369" s="8"/>
      <c r="K369" s="8"/>
      <c r="L369" s="86"/>
      <c r="M369" s="86"/>
      <c r="N369" s="86"/>
      <c r="O369" s="86"/>
      <c r="P369" s="86"/>
    </row>
    <row r="370" spans="1:16" ht="15" customHeight="1">
      <c r="A370" s="72"/>
      <c r="B370" s="74" t="s">
        <v>30</v>
      </c>
      <c r="C370" s="74"/>
      <c r="D370" s="67"/>
      <c r="E370" s="8"/>
      <c r="F370" s="8"/>
      <c r="G370" s="8"/>
      <c r="H370" s="8"/>
      <c r="I370" s="8"/>
      <c r="J370" s="8"/>
      <c r="K370" s="8"/>
      <c r="L370" s="86"/>
      <c r="M370" s="86"/>
      <c r="N370" s="86"/>
      <c r="O370" s="86"/>
      <c r="P370" s="86"/>
    </row>
    <row r="371" spans="1:16" ht="15" customHeight="1">
      <c r="A371" s="72"/>
      <c r="B371" s="74" t="s">
        <v>31</v>
      </c>
      <c r="C371" s="74"/>
      <c r="D371" s="67"/>
      <c r="E371" s="8"/>
      <c r="F371" s="8"/>
      <c r="G371" s="8"/>
      <c r="H371" s="8"/>
      <c r="I371" s="8"/>
      <c r="J371" s="8"/>
      <c r="K371" s="8"/>
      <c r="L371" s="86"/>
      <c r="M371" s="86"/>
      <c r="N371" s="86"/>
      <c r="O371" s="86"/>
      <c r="P371" s="86"/>
    </row>
    <row r="372" spans="1:16" ht="15" customHeight="1">
      <c r="A372" s="72"/>
      <c r="B372" s="74" t="s">
        <v>32</v>
      </c>
      <c r="C372" s="74"/>
      <c r="D372" s="67"/>
      <c r="E372" s="8"/>
      <c r="F372" s="8"/>
      <c r="G372" s="8"/>
      <c r="H372" s="8"/>
      <c r="I372" s="8"/>
      <c r="J372" s="8"/>
      <c r="K372" s="8"/>
      <c r="L372" s="86"/>
      <c r="M372" s="86"/>
      <c r="N372" s="86"/>
      <c r="O372" s="86"/>
      <c r="P372" s="86"/>
    </row>
    <row r="373" spans="1:16" ht="15" customHeight="1">
      <c r="A373" s="72"/>
      <c r="B373" s="74" t="s">
        <v>33</v>
      </c>
      <c r="C373" s="74"/>
      <c r="D373" s="67"/>
      <c r="E373" s="8"/>
      <c r="F373" s="8"/>
      <c r="G373" s="8"/>
      <c r="H373" s="8"/>
      <c r="I373" s="8"/>
      <c r="J373" s="8"/>
      <c r="K373" s="8"/>
      <c r="L373" s="86"/>
      <c r="M373" s="86"/>
      <c r="N373" s="86"/>
      <c r="O373" s="86"/>
      <c r="P373" s="86"/>
    </row>
    <row r="374" spans="1:16" ht="15">
      <c r="A374" s="72"/>
      <c r="B374" s="70" t="s">
        <v>18</v>
      </c>
      <c r="C374" s="70"/>
      <c r="D374" s="39"/>
      <c r="E374" s="9"/>
      <c r="F374" s="9"/>
      <c r="G374" s="9"/>
      <c r="H374" s="9"/>
      <c r="I374" s="9"/>
      <c r="J374" s="9"/>
      <c r="K374" s="9"/>
      <c r="L374" s="86"/>
      <c r="M374" s="86"/>
      <c r="N374" s="86"/>
      <c r="O374" s="86"/>
      <c r="P374" s="86"/>
    </row>
    <row r="375" spans="1:16" ht="15">
      <c r="A375" s="72">
        <v>7</v>
      </c>
      <c r="B375" s="73" t="s">
        <v>34</v>
      </c>
      <c r="C375" s="73"/>
      <c r="D375" s="40"/>
      <c r="E375" s="10"/>
      <c r="F375" s="10"/>
      <c r="G375" s="10"/>
      <c r="H375" s="10"/>
      <c r="I375" s="10"/>
      <c r="J375" s="10"/>
      <c r="K375" s="10"/>
      <c r="L375" s="86"/>
      <c r="M375" s="86"/>
      <c r="N375" s="86"/>
      <c r="O375" s="86"/>
      <c r="P375" s="86"/>
    </row>
    <row r="376" spans="1:16" ht="15" customHeight="1">
      <c r="A376" s="72"/>
      <c r="B376" s="74" t="s">
        <v>35</v>
      </c>
      <c r="C376" s="74"/>
      <c r="D376" s="67"/>
      <c r="E376" s="8"/>
      <c r="F376" s="8"/>
      <c r="G376" s="8"/>
      <c r="H376" s="8"/>
      <c r="I376" s="8"/>
      <c r="J376" s="8"/>
      <c r="K376" s="8"/>
      <c r="L376" s="86"/>
      <c r="M376" s="86"/>
      <c r="N376" s="86"/>
      <c r="O376" s="86"/>
      <c r="P376" s="86"/>
    </row>
    <row r="377" spans="1:16" ht="15" customHeight="1">
      <c r="A377" s="72"/>
      <c r="B377" s="74" t="s">
        <v>36</v>
      </c>
      <c r="C377" s="74"/>
      <c r="D377" s="67"/>
      <c r="E377" s="8"/>
      <c r="F377" s="8"/>
      <c r="G377" s="8"/>
      <c r="H377" s="8"/>
      <c r="I377" s="8"/>
      <c r="J377" s="8"/>
      <c r="K377" s="8"/>
      <c r="L377" s="86"/>
      <c r="M377" s="86"/>
      <c r="N377" s="86"/>
      <c r="O377" s="86"/>
      <c r="P377" s="86"/>
    </row>
    <row r="378" spans="1:16" ht="15" customHeight="1">
      <c r="A378" s="72"/>
      <c r="B378" s="74" t="s">
        <v>37</v>
      </c>
      <c r="C378" s="74"/>
      <c r="D378" s="67"/>
      <c r="E378" s="8"/>
      <c r="F378" s="8"/>
      <c r="G378" s="8"/>
      <c r="H378" s="8"/>
      <c r="I378" s="8"/>
      <c r="J378" s="8"/>
      <c r="K378" s="8"/>
      <c r="L378" s="86"/>
      <c r="M378" s="86"/>
      <c r="N378" s="86"/>
      <c r="O378" s="86"/>
      <c r="P378" s="86"/>
    </row>
    <row r="379" spans="1:16" ht="15" customHeight="1">
      <c r="A379" s="72"/>
      <c r="B379" s="74" t="s">
        <v>38</v>
      </c>
      <c r="C379" s="74"/>
      <c r="D379" s="67"/>
      <c r="E379" s="8"/>
      <c r="F379" s="8"/>
      <c r="G379" s="8"/>
      <c r="H379" s="8"/>
      <c r="I379" s="8"/>
      <c r="J379" s="8"/>
      <c r="K379" s="8"/>
      <c r="L379" s="86"/>
      <c r="M379" s="86"/>
      <c r="N379" s="86"/>
      <c r="O379" s="86"/>
      <c r="P379" s="86"/>
    </row>
    <row r="380" spans="1:16" ht="15" customHeight="1">
      <c r="A380" s="72"/>
      <c r="B380" s="74" t="s">
        <v>39</v>
      </c>
      <c r="C380" s="74"/>
      <c r="D380" s="67"/>
      <c r="E380" s="8"/>
      <c r="F380" s="8"/>
      <c r="G380" s="8"/>
      <c r="H380" s="8"/>
      <c r="I380" s="8"/>
      <c r="J380" s="8"/>
      <c r="K380" s="8"/>
      <c r="L380" s="86"/>
      <c r="M380" s="86"/>
      <c r="N380" s="86"/>
      <c r="O380" s="86"/>
      <c r="P380" s="86"/>
    </row>
    <row r="381" spans="1:16" ht="15" customHeight="1">
      <c r="A381" s="72"/>
      <c r="B381" s="74" t="s">
        <v>40</v>
      </c>
      <c r="C381" s="74"/>
      <c r="D381" s="67"/>
      <c r="E381" s="8"/>
      <c r="F381" s="8"/>
      <c r="G381" s="8"/>
      <c r="H381" s="8"/>
      <c r="I381" s="8"/>
      <c r="J381" s="8"/>
      <c r="K381" s="8"/>
      <c r="L381" s="86"/>
      <c r="M381" s="86"/>
      <c r="N381" s="86"/>
      <c r="O381" s="86"/>
      <c r="P381" s="86"/>
    </row>
    <row r="382" spans="1:16" ht="15" customHeight="1">
      <c r="A382" s="72"/>
      <c r="B382" s="74" t="s">
        <v>41</v>
      </c>
      <c r="C382" s="74"/>
      <c r="D382" s="67"/>
      <c r="E382" s="8"/>
      <c r="F382" s="8"/>
      <c r="G382" s="8"/>
      <c r="H382" s="8"/>
      <c r="I382" s="8"/>
      <c r="J382" s="8"/>
      <c r="K382" s="8"/>
      <c r="L382" s="86"/>
      <c r="M382" s="86"/>
      <c r="N382" s="86"/>
      <c r="O382" s="86"/>
      <c r="P382" s="86"/>
    </row>
    <row r="383" spans="1:16" ht="15" customHeight="1">
      <c r="A383" s="72"/>
      <c r="B383" s="74" t="s">
        <v>42</v>
      </c>
      <c r="C383" s="74"/>
      <c r="D383" s="67"/>
      <c r="E383" s="8"/>
      <c r="F383" s="8"/>
      <c r="G383" s="8"/>
      <c r="H383" s="8"/>
      <c r="I383" s="8"/>
      <c r="J383" s="8"/>
      <c r="K383" s="8"/>
      <c r="L383" s="86"/>
      <c r="M383" s="86"/>
      <c r="N383" s="86"/>
      <c r="O383" s="86"/>
      <c r="P383" s="86"/>
    </row>
    <row r="384" spans="1:16" ht="15" customHeight="1">
      <c r="A384" s="72"/>
      <c r="B384" s="68" t="s">
        <v>43</v>
      </c>
      <c r="C384" s="69"/>
      <c r="D384" s="67"/>
      <c r="E384" s="8"/>
      <c r="F384" s="8"/>
      <c r="G384" s="8"/>
      <c r="H384" s="8"/>
      <c r="I384" s="8"/>
      <c r="J384" s="8"/>
      <c r="K384" s="8"/>
      <c r="L384" s="86"/>
      <c r="M384" s="86"/>
      <c r="N384" s="86"/>
      <c r="O384" s="86"/>
      <c r="P384" s="86"/>
    </row>
    <row r="385" spans="1:16" ht="15">
      <c r="A385" s="72"/>
      <c r="B385" s="70" t="s">
        <v>18</v>
      </c>
      <c r="C385" s="70"/>
      <c r="D385" s="39"/>
      <c r="E385" s="9"/>
      <c r="F385" s="9"/>
      <c r="G385" s="9"/>
      <c r="H385" s="9"/>
      <c r="I385" s="9"/>
      <c r="J385" s="9"/>
      <c r="K385" s="9"/>
      <c r="L385" s="86"/>
      <c r="M385" s="86"/>
      <c r="N385" s="86"/>
      <c r="O385" s="86"/>
      <c r="P385" s="86"/>
    </row>
    <row r="386" spans="1:16">
      <c r="B386"/>
    </row>
    <row r="387" spans="1:16" ht="15">
      <c r="B387" s="71" t="s">
        <v>44</v>
      </c>
      <c r="C387" s="71"/>
      <c r="D387" s="1">
        <f>SUM(D353:D384)</f>
        <v>0</v>
      </c>
      <c r="E387" s="1">
        <f t="shared" ref="E387:K387" si="24">SUM(E353:E384)</f>
        <v>0</v>
      </c>
      <c r="F387" s="1">
        <f t="shared" si="24"/>
        <v>0</v>
      </c>
      <c r="G387" s="1">
        <f t="shared" si="24"/>
        <v>0</v>
      </c>
      <c r="H387" s="1">
        <f t="shared" si="24"/>
        <v>0</v>
      </c>
      <c r="I387" s="1">
        <f t="shared" si="24"/>
        <v>0</v>
      </c>
      <c r="J387" s="1">
        <f t="shared" si="24"/>
        <v>0</v>
      </c>
      <c r="K387" s="1">
        <f t="shared" si="24"/>
        <v>0</v>
      </c>
      <c r="M387" s="17" t="s">
        <v>2</v>
      </c>
      <c r="N387" s="17" t="s">
        <v>3</v>
      </c>
    </row>
    <row r="388" spans="1:16" ht="15">
      <c r="B388"/>
      <c r="C388" s="64"/>
      <c r="D388" s="1">
        <f>COUNT(D353:D385)*5</f>
        <v>0</v>
      </c>
      <c r="E388" s="1">
        <f t="shared" ref="E388:K388" si="25">COUNT(E353:E385)*5</f>
        <v>0</v>
      </c>
      <c r="F388" s="1">
        <f t="shared" si="25"/>
        <v>0</v>
      </c>
      <c r="G388" s="1">
        <f t="shared" si="25"/>
        <v>0</v>
      </c>
      <c r="H388" s="1">
        <f t="shared" si="25"/>
        <v>0</v>
      </c>
      <c r="I388" s="1">
        <f t="shared" si="25"/>
        <v>0</v>
      </c>
      <c r="J388" s="1">
        <f t="shared" si="25"/>
        <v>0</v>
      </c>
      <c r="K388" s="1">
        <f t="shared" si="25"/>
        <v>0</v>
      </c>
      <c r="M388" s="18" t="e">
        <f>(D389+F389+H389+J389)/4</f>
        <v>#DIV/0!</v>
      </c>
      <c r="N388" s="18" t="e">
        <f>(E389+G389+I389+K389)/4</f>
        <v>#DIV/0!</v>
      </c>
    </row>
    <row r="389" spans="1:16" ht="15">
      <c r="B389"/>
      <c r="C389" s="2" t="s">
        <v>45</v>
      </c>
      <c r="D389" s="11" t="e">
        <f>D387/D388</f>
        <v>#DIV/0!</v>
      </c>
      <c r="E389" s="11" t="e">
        <f t="shared" ref="E389:K389" si="26">E387/E388</f>
        <v>#DIV/0!</v>
      </c>
      <c r="F389" s="11" t="e">
        <f t="shared" si="26"/>
        <v>#DIV/0!</v>
      </c>
      <c r="G389" s="11" t="e">
        <f t="shared" si="26"/>
        <v>#DIV/0!</v>
      </c>
      <c r="H389" s="11" t="e">
        <f t="shared" si="26"/>
        <v>#DIV/0!</v>
      </c>
      <c r="I389" s="11" t="e">
        <f t="shared" si="26"/>
        <v>#DIV/0!</v>
      </c>
      <c r="J389" s="11" t="e">
        <f t="shared" si="26"/>
        <v>#DIV/0!</v>
      </c>
      <c r="K389" s="11" t="e">
        <f t="shared" si="26"/>
        <v>#DIV/0!</v>
      </c>
      <c r="L389" s="4"/>
      <c r="M389" s="4"/>
      <c r="N389" s="4"/>
      <c r="O389" s="4"/>
      <c r="P389" s="4"/>
    </row>
    <row r="390" spans="1:16" s="22" customFormat="1"/>
    <row r="391" spans="1:16" ht="18">
      <c r="B391" s="16" t="s">
        <v>54</v>
      </c>
      <c r="C391" s="23" t="s">
        <v>6</v>
      </c>
      <c r="D391" s="75" t="s">
        <v>7</v>
      </c>
      <c r="E391" s="76"/>
      <c r="F391" s="75" t="s">
        <v>8</v>
      </c>
      <c r="G391" s="76"/>
      <c r="H391" s="75" t="s">
        <v>9</v>
      </c>
      <c r="I391" s="76"/>
      <c r="J391" s="75" t="s">
        <v>10</v>
      </c>
      <c r="K391" s="76"/>
    </row>
    <row r="392" spans="1:16" s="1" customFormat="1" ht="15">
      <c r="A392" s="77" t="s">
        <v>11</v>
      </c>
      <c r="B392" s="77" t="s">
        <v>12</v>
      </c>
      <c r="C392" s="6" t="s">
        <v>13</v>
      </c>
      <c r="D392" s="41"/>
      <c r="E392" s="29"/>
      <c r="F392" s="29"/>
      <c r="G392" s="29"/>
      <c r="H392" s="29"/>
      <c r="I392" s="29"/>
      <c r="J392" s="29"/>
      <c r="K392" s="29"/>
      <c r="L392" s="80" t="s">
        <v>14</v>
      </c>
      <c r="M392" s="81"/>
      <c r="N392" s="81"/>
      <c r="O392" s="81"/>
      <c r="P392" s="81"/>
    </row>
    <row r="393" spans="1:16" s="1" customFormat="1" ht="15">
      <c r="A393" s="78"/>
      <c r="B393" s="78"/>
      <c r="C393" s="6"/>
      <c r="D393" s="7" t="s">
        <v>2</v>
      </c>
      <c r="E393" s="7" t="s">
        <v>15</v>
      </c>
      <c r="F393" s="7" t="s">
        <v>2</v>
      </c>
      <c r="G393" s="7" t="s">
        <v>15</v>
      </c>
      <c r="H393" s="7" t="s">
        <v>2</v>
      </c>
      <c r="I393" s="7" t="s">
        <v>15</v>
      </c>
      <c r="J393" s="7" t="s">
        <v>2</v>
      </c>
      <c r="K393" s="7" t="s">
        <v>15</v>
      </c>
      <c r="L393" s="80"/>
      <c r="M393" s="81"/>
      <c r="N393" s="81"/>
      <c r="O393" s="81"/>
      <c r="P393" s="81"/>
    </row>
    <row r="394" spans="1:16" s="1" customFormat="1" ht="15">
      <c r="A394" s="79"/>
      <c r="B394" s="79"/>
      <c r="C394" s="6" t="s">
        <v>16</v>
      </c>
      <c r="D394" s="38"/>
      <c r="E394" s="6"/>
      <c r="F394" s="6"/>
      <c r="G394" s="6"/>
      <c r="H394" s="6"/>
      <c r="I394" s="6"/>
      <c r="J394" s="6"/>
      <c r="K394" s="6"/>
      <c r="L394" s="80"/>
      <c r="M394" s="81"/>
      <c r="N394" s="81"/>
      <c r="O394" s="81"/>
      <c r="P394" s="81"/>
    </row>
    <row r="395" spans="1:16" ht="15">
      <c r="A395" s="82">
        <v>1</v>
      </c>
      <c r="B395" s="84" t="s">
        <v>17</v>
      </c>
      <c r="C395" s="85"/>
      <c r="D395" s="67"/>
      <c r="E395" s="8"/>
      <c r="F395" s="8"/>
      <c r="G395" s="8"/>
      <c r="H395" s="8"/>
      <c r="I395" s="8"/>
      <c r="J395" s="8"/>
      <c r="K395" s="8"/>
      <c r="L395" s="86"/>
      <c r="M395" s="86"/>
      <c r="N395" s="86"/>
      <c r="O395" s="86"/>
      <c r="P395" s="86"/>
    </row>
    <row r="396" spans="1:16" ht="15">
      <c r="A396" s="83"/>
      <c r="B396" s="87" t="s">
        <v>18</v>
      </c>
      <c r="C396" s="88"/>
      <c r="D396" s="39"/>
      <c r="E396" s="9"/>
      <c r="F396" s="9"/>
      <c r="G396" s="9"/>
      <c r="H396" s="9"/>
      <c r="I396" s="9"/>
      <c r="J396" s="9"/>
      <c r="K396" s="9"/>
      <c r="L396" s="86"/>
      <c r="M396" s="86"/>
      <c r="N396" s="86"/>
      <c r="O396" s="86"/>
      <c r="P396" s="86"/>
    </row>
    <row r="397" spans="1:16" ht="15">
      <c r="A397" s="72">
        <v>2</v>
      </c>
      <c r="B397" s="73" t="s">
        <v>19</v>
      </c>
      <c r="C397" s="73"/>
      <c r="D397" s="67"/>
      <c r="E397" s="8"/>
      <c r="F397" s="8"/>
      <c r="G397" s="8"/>
      <c r="H397" s="8"/>
      <c r="I397" s="8"/>
      <c r="J397" s="8"/>
      <c r="K397" s="8"/>
      <c r="L397" s="86"/>
      <c r="M397" s="86"/>
      <c r="N397" s="86"/>
      <c r="O397" s="86"/>
      <c r="P397" s="86"/>
    </row>
    <row r="398" spans="1:16" ht="15">
      <c r="A398" s="72"/>
      <c r="B398" s="70" t="s">
        <v>18</v>
      </c>
      <c r="C398" s="70"/>
      <c r="D398" s="39"/>
      <c r="E398" s="9"/>
      <c r="F398" s="9"/>
      <c r="G398" s="9"/>
      <c r="H398" s="9"/>
      <c r="I398" s="9"/>
      <c r="J398" s="9"/>
      <c r="K398" s="9"/>
      <c r="L398" s="86"/>
      <c r="M398" s="86"/>
      <c r="N398" s="86"/>
      <c r="O398" s="86"/>
      <c r="P398" s="86"/>
    </row>
    <row r="399" spans="1:16" ht="15">
      <c r="A399" s="72">
        <v>3</v>
      </c>
      <c r="B399" s="73" t="s">
        <v>20</v>
      </c>
      <c r="C399" s="73"/>
      <c r="D399" s="40"/>
      <c r="E399" s="10"/>
      <c r="F399" s="10"/>
      <c r="G399" s="10"/>
      <c r="H399" s="10"/>
      <c r="I399" s="10"/>
      <c r="J399" s="10"/>
      <c r="K399" s="10"/>
      <c r="L399" s="86"/>
      <c r="M399" s="86"/>
      <c r="N399" s="86"/>
      <c r="O399" s="86"/>
      <c r="P399" s="86"/>
    </row>
    <row r="400" spans="1:16" ht="15" customHeight="1">
      <c r="A400" s="72"/>
      <c r="B400" s="74" t="s">
        <v>21</v>
      </c>
      <c r="C400" s="74"/>
      <c r="D400" s="67"/>
      <c r="E400" s="8"/>
      <c r="F400" s="8"/>
      <c r="G400" s="8"/>
      <c r="H400" s="8"/>
      <c r="I400" s="8"/>
      <c r="J400" s="8"/>
      <c r="K400" s="8"/>
      <c r="L400" s="86"/>
      <c r="M400" s="86"/>
      <c r="N400" s="86"/>
      <c r="O400" s="86"/>
      <c r="P400" s="86"/>
    </row>
    <row r="401" spans="1:16" ht="15" customHeight="1">
      <c r="A401" s="72"/>
      <c r="B401" s="74" t="s">
        <v>22</v>
      </c>
      <c r="C401" s="74"/>
      <c r="D401" s="67"/>
      <c r="E401" s="8"/>
      <c r="F401" s="8"/>
      <c r="G401" s="8"/>
      <c r="H401" s="8"/>
      <c r="I401" s="8"/>
      <c r="J401" s="8"/>
      <c r="K401" s="8"/>
      <c r="L401" s="86"/>
      <c r="M401" s="86"/>
      <c r="N401" s="86"/>
      <c r="O401" s="86"/>
      <c r="P401" s="86"/>
    </row>
    <row r="402" spans="1:16" ht="15" customHeight="1">
      <c r="A402" s="72"/>
      <c r="B402" s="74" t="s">
        <v>23</v>
      </c>
      <c r="C402" s="74"/>
      <c r="D402" s="67"/>
      <c r="E402" s="8"/>
      <c r="F402" s="8"/>
      <c r="G402" s="8"/>
      <c r="H402" s="8"/>
      <c r="I402" s="8"/>
      <c r="J402" s="8"/>
      <c r="K402" s="8"/>
      <c r="L402" s="86"/>
      <c r="M402" s="86"/>
      <c r="N402" s="86"/>
      <c r="O402" s="86"/>
      <c r="P402" s="86"/>
    </row>
    <row r="403" spans="1:16" ht="15">
      <c r="A403" s="72"/>
      <c r="B403" s="70" t="s">
        <v>18</v>
      </c>
      <c r="C403" s="70"/>
      <c r="D403" s="39"/>
      <c r="E403" s="9"/>
      <c r="F403" s="9"/>
      <c r="G403" s="9"/>
      <c r="H403" s="9"/>
      <c r="I403" s="9"/>
      <c r="J403" s="9"/>
      <c r="K403" s="9"/>
      <c r="L403" s="86"/>
      <c r="M403" s="86"/>
      <c r="N403" s="86"/>
      <c r="O403" s="86"/>
      <c r="P403" s="86"/>
    </row>
    <row r="404" spans="1:16" ht="15">
      <c r="A404" s="72">
        <v>4</v>
      </c>
      <c r="B404" s="73" t="s">
        <v>24</v>
      </c>
      <c r="C404" s="73"/>
      <c r="D404" s="40"/>
      <c r="E404" s="10"/>
      <c r="F404" s="10"/>
      <c r="G404" s="10"/>
      <c r="H404" s="10"/>
      <c r="I404" s="10"/>
      <c r="J404" s="10"/>
      <c r="K404" s="10"/>
      <c r="L404" s="86"/>
      <c r="M404" s="86"/>
      <c r="N404" s="86"/>
      <c r="O404" s="86"/>
      <c r="P404" s="86"/>
    </row>
    <row r="405" spans="1:16" ht="15" customHeight="1">
      <c r="A405" s="72"/>
      <c r="B405" s="74" t="s">
        <v>25</v>
      </c>
      <c r="C405" s="74"/>
      <c r="D405" s="67"/>
      <c r="E405" s="8"/>
      <c r="F405" s="8"/>
      <c r="G405" s="8"/>
      <c r="H405" s="8"/>
      <c r="I405" s="8"/>
      <c r="J405" s="8"/>
      <c r="K405" s="8"/>
      <c r="L405" s="86"/>
      <c r="M405" s="86"/>
      <c r="N405" s="86"/>
      <c r="O405" s="86"/>
      <c r="P405" s="86"/>
    </row>
    <row r="406" spans="1:16" ht="15" customHeight="1">
      <c r="A406" s="72"/>
      <c r="B406" s="74" t="s">
        <v>26</v>
      </c>
      <c r="C406" s="74"/>
      <c r="D406" s="67"/>
      <c r="E406" s="8"/>
      <c r="F406" s="8"/>
      <c r="G406" s="8"/>
      <c r="H406" s="8"/>
      <c r="I406" s="8"/>
      <c r="J406" s="8"/>
      <c r="K406" s="8"/>
      <c r="L406" s="86"/>
      <c r="M406" s="86"/>
      <c r="N406" s="86"/>
      <c r="O406" s="86"/>
      <c r="P406" s="86"/>
    </row>
    <row r="407" spans="1:16" ht="15">
      <c r="A407" s="72"/>
      <c r="B407" s="70" t="s">
        <v>18</v>
      </c>
      <c r="C407" s="70"/>
      <c r="D407" s="39"/>
      <c r="E407" s="9"/>
      <c r="F407" s="9"/>
      <c r="G407" s="9"/>
      <c r="H407" s="9"/>
      <c r="I407" s="9"/>
      <c r="J407" s="9"/>
      <c r="K407" s="9"/>
      <c r="L407" s="86"/>
      <c r="M407" s="86"/>
      <c r="N407" s="86"/>
      <c r="O407" s="86"/>
      <c r="P407" s="86"/>
    </row>
    <row r="408" spans="1:16" ht="15">
      <c r="A408" s="72">
        <v>5</v>
      </c>
      <c r="B408" s="73" t="s">
        <v>27</v>
      </c>
      <c r="C408" s="73"/>
      <c r="D408" s="67"/>
      <c r="E408" s="8"/>
      <c r="F408" s="8"/>
      <c r="G408" s="8"/>
      <c r="H408" s="8"/>
      <c r="I408" s="8"/>
      <c r="J408" s="8"/>
      <c r="K408" s="8"/>
      <c r="L408" s="86"/>
      <c r="M408" s="86"/>
      <c r="N408" s="86"/>
      <c r="O408" s="86"/>
      <c r="P408" s="86"/>
    </row>
    <row r="409" spans="1:16" ht="15">
      <c r="A409" s="72"/>
      <c r="B409" s="70" t="s">
        <v>18</v>
      </c>
      <c r="C409" s="70"/>
      <c r="D409" s="39"/>
      <c r="E409" s="9"/>
      <c r="F409" s="9"/>
      <c r="G409" s="9"/>
      <c r="H409" s="9"/>
      <c r="I409" s="9"/>
      <c r="J409" s="9"/>
      <c r="K409" s="9"/>
      <c r="L409" s="86"/>
      <c r="M409" s="86"/>
      <c r="N409" s="86"/>
      <c r="O409" s="86"/>
      <c r="P409" s="86"/>
    </row>
    <row r="410" spans="1:16" ht="15">
      <c r="A410" s="72">
        <v>6</v>
      </c>
      <c r="B410" s="73" t="s">
        <v>28</v>
      </c>
      <c r="C410" s="73"/>
      <c r="D410" s="40"/>
      <c r="E410" s="10"/>
      <c r="F410" s="10"/>
      <c r="G410" s="10"/>
      <c r="H410" s="10"/>
      <c r="I410" s="10"/>
      <c r="J410" s="10"/>
      <c r="K410" s="10"/>
      <c r="L410" s="86"/>
      <c r="M410" s="86"/>
      <c r="N410" s="86"/>
      <c r="O410" s="86"/>
      <c r="P410" s="86"/>
    </row>
    <row r="411" spans="1:16" ht="15" customHeight="1">
      <c r="A411" s="72"/>
      <c r="B411" s="74" t="s">
        <v>29</v>
      </c>
      <c r="C411" s="74"/>
      <c r="D411" s="67"/>
      <c r="E411" s="8"/>
      <c r="F411" s="8"/>
      <c r="G411" s="8"/>
      <c r="H411" s="8"/>
      <c r="I411" s="8"/>
      <c r="J411" s="8"/>
      <c r="K411" s="8"/>
      <c r="L411" s="86"/>
      <c r="M411" s="86"/>
      <c r="N411" s="86"/>
      <c r="O411" s="86"/>
      <c r="P411" s="86"/>
    </row>
    <row r="412" spans="1:16" ht="15" customHeight="1">
      <c r="A412" s="72"/>
      <c r="B412" s="74" t="s">
        <v>30</v>
      </c>
      <c r="C412" s="74"/>
      <c r="D412" s="67"/>
      <c r="E412" s="8"/>
      <c r="F412" s="8"/>
      <c r="G412" s="8"/>
      <c r="H412" s="8"/>
      <c r="I412" s="8"/>
      <c r="J412" s="8"/>
      <c r="K412" s="8"/>
      <c r="L412" s="86"/>
      <c r="M412" s="86"/>
      <c r="N412" s="86"/>
      <c r="O412" s="86"/>
      <c r="P412" s="86"/>
    </row>
    <row r="413" spans="1:16" ht="15" customHeight="1">
      <c r="A413" s="72"/>
      <c r="B413" s="74" t="s">
        <v>31</v>
      </c>
      <c r="C413" s="74"/>
      <c r="D413" s="67"/>
      <c r="E413" s="8"/>
      <c r="F413" s="8"/>
      <c r="G413" s="8"/>
      <c r="H413" s="8"/>
      <c r="I413" s="8"/>
      <c r="J413" s="8"/>
      <c r="K413" s="8"/>
      <c r="L413" s="86"/>
      <c r="M413" s="86"/>
      <c r="N413" s="86"/>
      <c r="O413" s="86"/>
      <c r="P413" s="86"/>
    </row>
    <row r="414" spans="1:16" ht="15" customHeight="1">
      <c r="A414" s="72"/>
      <c r="B414" s="74" t="s">
        <v>32</v>
      </c>
      <c r="C414" s="74"/>
      <c r="D414" s="67"/>
      <c r="E414" s="8"/>
      <c r="F414" s="8"/>
      <c r="G414" s="8"/>
      <c r="H414" s="8"/>
      <c r="I414" s="8"/>
      <c r="J414" s="8"/>
      <c r="K414" s="8"/>
      <c r="L414" s="86"/>
      <c r="M414" s="86"/>
      <c r="N414" s="86"/>
      <c r="O414" s="86"/>
      <c r="P414" s="86"/>
    </row>
    <row r="415" spans="1:16" ht="15" customHeight="1">
      <c r="A415" s="72"/>
      <c r="B415" s="74" t="s">
        <v>33</v>
      </c>
      <c r="C415" s="74"/>
      <c r="D415" s="67"/>
      <c r="E415" s="8"/>
      <c r="F415" s="8"/>
      <c r="G415" s="8"/>
      <c r="H415" s="8"/>
      <c r="I415" s="8"/>
      <c r="J415" s="8"/>
      <c r="K415" s="8"/>
      <c r="L415" s="86"/>
      <c r="M415" s="86"/>
      <c r="N415" s="86"/>
      <c r="O415" s="86"/>
      <c r="P415" s="86"/>
    </row>
    <row r="416" spans="1:16" ht="15">
      <c r="A416" s="72"/>
      <c r="B416" s="70" t="s">
        <v>18</v>
      </c>
      <c r="C416" s="70"/>
      <c r="D416" s="39"/>
      <c r="E416" s="9"/>
      <c r="F416" s="9"/>
      <c r="G416" s="9"/>
      <c r="H416" s="9"/>
      <c r="I416" s="9"/>
      <c r="J416" s="9"/>
      <c r="K416" s="9"/>
      <c r="L416" s="86"/>
      <c r="M416" s="86"/>
      <c r="N416" s="86"/>
      <c r="O416" s="86"/>
      <c r="P416" s="86"/>
    </row>
    <row r="417" spans="1:16" ht="15">
      <c r="A417" s="72">
        <v>7</v>
      </c>
      <c r="B417" s="73" t="s">
        <v>34</v>
      </c>
      <c r="C417" s="73"/>
      <c r="D417" s="40"/>
      <c r="E417" s="10"/>
      <c r="F417" s="10"/>
      <c r="G417" s="10"/>
      <c r="H417" s="10"/>
      <c r="I417" s="10"/>
      <c r="J417" s="10"/>
      <c r="K417" s="10"/>
      <c r="L417" s="86"/>
      <c r="M417" s="86"/>
      <c r="N417" s="86"/>
      <c r="O417" s="86"/>
      <c r="P417" s="86"/>
    </row>
    <row r="418" spans="1:16" ht="15" customHeight="1">
      <c r="A418" s="72"/>
      <c r="B418" s="74" t="s">
        <v>35</v>
      </c>
      <c r="C418" s="74"/>
      <c r="D418" s="67"/>
      <c r="E418" s="8"/>
      <c r="F418" s="8"/>
      <c r="G418" s="8"/>
      <c r="H418" s="8"/>
      <c r="I418" s="8"/>
      <c r="J418" s="8"/>
      <c r="K418" s="8"/>
      <c r="L418" s="86"/>
      <c r="M418" s="86"/>
      <c r="N418" s="86"/>
      <c r="O418" s="86"/>
      <c r="P418" s="86"/>
    </row>
    <row r="419" spans="1:16" ht="15" customHeight="1">
      <c r="A419" s="72"/>
      <c r="B419" s="74" t="s">
        <v>36</v>
      </c>
      <c r="C419" s="74"/>
      <c r="D419" s="67"/>
      <c r="E419" s="8"/>
      <c r="F419" s="8"/>
      <c r="G419" s="8"/>
      <c r="H419" s="8"/>
      <c r="I419" s="8"/>
      <c r="J419" s="8"/>
      <c r="K419" s="8"/>
      <c r="L419" s="86"/>
      <c r="M419" s="86"/>
      <c r="N419" s="86"/>
      <c r="O419" s="86"/>
      <c r="P419" s="86"/>
    </row>
    <row r="420" spans="1:16" ht="15" customHeight="1">
      <c r="A420" s="72"/>
      <c r="B420" s="74" t="s">
        <v>37</v>
      </c>
      <c r="C420" s="74"/>
      <c r="D420" s="67"/>
      <c r="E420" s="8"/>
      <c r="F420" s="8"/>
      <c r="G420" s="8"/>
      <c r="H420" s="8"/>
      <c r="I420" s="8"/>
      <c r="J420" s="8"/>
      <c r="K420" s="8"/>
      <c r="L420" s="86"/>
      <c r="M420" s="86"/>
      <c r="N420" s="86"/>
      <c r="O420" s="86"/>
      <c r="P420" s="86"/>
    </row>
    <row r="421" spans="1:16" ht="15" customHeight="1">
      <c r="A421" s="72"/>
      <c r="B421" s="74" t="s">
        <v>38</v>
      </c>
      <c r="C421" s="74"/>
      <c r="D421" s="67"/>
      <c r="E421" s="8"/>
      <c r="F421" s="8"/>
      <c r="G421" s="8"/>
      <c r="H421" s="8"/>
      <c r="I421" s="8"/>
      <c r="J421" s="8"/>
      <c r="K421" s="8"/>
      <c r="L421" s="86"/>
      <c r="M421" s="86"/>
      <c r="N421" s="86"/>
      <c r="O421" s="86"/>
      <c r="P421" s="86"/>
    </row>
    <row r="422" spans="1:16" ht="15" customHeight="1">
      <c r="A422" s="72"/>
      <c r="B422" s="74" t="s">
        <v>39</v>
      </c>
      <c r="C422" s="74"/>
      <c r="D422" s="67"/>
      <c r="E422" s="8"/>
      <c r="F422" s="8"/>
      <c r="G422" s="8"/>
      <c r="H422" s="8"/>
      <c r="I422" s="8"/>
      <c r="J422" s="8"/>
      <c r="K422" s="8"/>
      <c r="L422" s="86"/>
      <c r="M422" s="86"/>
      <c r="N422" s="86"/>
      <c r="O422" s="86"/>
      <c r="P422" s="86"/>
    </row>
    <row r="423" spans="1:16" ht="15" customHeight="1">
      <c r="A423" s="72"/>
      <c r="B423" s="74" t="s">
        <v>40</v>
      </c>
      <c r="C423" s="74"/>
      <c r="D423" s="67"/>
      <c r="E423" s="8"/>
      <c r="F423" s="8"/>
      <c r="G423" s="8"/>
      <c r="H423" s="8"/>
      <c r="I423" s="8"/>
      <c r="J423" s="8"/>
      <c r="K423" s="8"/>
      <c r="L423" s="86"/>
      <c r="M423" s="86"/>
      <c r="N423" s="86"/>
      <c r="O423" s="86"/>
      <c r="P423" s="86"/>
    </row>
    <row r="424" spans="1:16" ht="15" customHeight="1">
      <c r="A424" s="72"/>
      <c r="B424" s="74" t="s">
        <v>41</v>
      </c>
      <c r="C424" s="74"/>
      <c r="D424" s="67"/>
      <c r="E424" s="8"/>
      <c r="F424" s="8"/>
      <c r="G424" s="8"/>
      <c r="H424" s="8"/>
      <c r="I424" s="8"/>
      <c r="J424" s="8"/>
      <c r="K424" s="8"/>
      <c r="L424" s="86"/>
      <c r="M424" s="86"/>
      <c r="N424" s="86"/>
      <c r="O424" s="86"/>
      <c r="P424" s="86"/>
    </row>
    <row r="425" spans="1:16" ht="15" customHeight="1">
      <c r="A425" s="72"/>
      <c r="B425" s="74" t="s">
        <v>42</v>
      </c>
      <c r="C425" s="74"/>
      <c r="D425" s="67"/>
      <c r="E425" s="8"/>
      <c r="F425" s="8"/>
      <c r="G425" s="8"/>
      <c r="H425" s="8"/>
      <c r="I425" s="8"/>
      <c r="J425" s="8"/>
      <c r="K425" s="8"/>
      <c r="L425" s="86"/>
      <c r="M425" s="86"/>
      <c r="N425" s="86"/>
      <c r="O425" s="86"/>
      <c r="P425" s="86"/>
    </row>
    <row r="426" spans="1:16" ht="15" customHeight="1">
      <c r="A426" s="72"/>
      <c r="B426" s="68" t="s">
        <v>43</v>
      </c>
      <c r="C426" s="69"/>
      <c r="D426" s="67"/>
      <c r="E426" s="8"/>
      <c r="F426" s="8"/>
      <c r="G426" s="8"/>
      <c r="H426" s="8"/>
      <c r="I426" s="8"/>
      <c r="J426" s="8"/>
      <c r="K426" s="8"/>
      <c r="L426" s="86"/>
      <c r="M426" s="86"/>
      <c r="N426" s="86"/>
      <c r="O426" s="86"/>
      <c r="P426" s="86"/>
    </row>
    <row r="427" spans="1:16" ht="15">
      <c r="A427" s="72"/>
      <c r="B427" s="70" t="s">
        <v>18</v>
      </c>
      <c r="C427" s="70"/>
      <c r="D427" s="39"/>
      <c r="E427" s="9"/>
      <c r="F427" s="9"/>
      <c r="G427" s="9"/>
      <c r="H427" s="9"/>
      <c r="I427" s="9"/>
      <c r="J427" s="9"/>
      <c r="K427" s="9"/>
      <c r="L427" s="86"/>
      <c r="M427" s="86"/>
      <c r="N427" s="86"/>
      <c r="O427" s="86"/>
      <c r="P427" s="86"/>
    </row>
    <row r="428" spans="1:16">
      <c r="B428"/>
    </row>
    <row r="429" spans="1:16" ht="15">
      <c r="B429" s="71" t="s">
        <v>44</v>
      </c>
      <c r="C429" s="71"/>
      <c r="D429" s="1">
        <f>SUM(D395:D426)</f>
        <v>0</v>
      </c>
      <c r="E429" s="1">
        <f t="shared" ref="E429:K429" si="27">SUM(E395:E426)</f>
        <v>0</v>
      </c>
      <c r="F429" s="1">
        <f t="shared" si="27"/>
        <v>0</v>
      </c>
      <c r="G429" s="1">
        <f t="shared" si="27"/>
        <v>0</v>
      </c>
      <c r="H429" s="1">
        <f t="shared" si="27"/>
        <v>0</v>
      </c>
      <c r="I429" s="1">
        <f t="shared" si="27"/>
        <v>0</v>
      </c>
      <c r="J429" s="1">
        <f t="shared" si="27"/>
        <v>0</v>
      </c>
      <c r="K429" s="1">
        <f t="shared" si="27"/>
        <v>0</v>
      </c>
      <c r="M429" s="17" t="s">
        <v>2</v>
      </c>
      <c r="N429" s="17" t="s">
        <v>3</v>
      </c>
    </row>
    <row r="430" spans="1:16" ht="15">
      <c r="B430"/>
      <c r="C430" s="64"/>
      <c r="D430" s="1">
        <f>COUNT(D395:D427)*5</f>
        <v>0</v>
      </c>
      <c r="E430" s="1">
        <f t="shared" ref="E430:K430" si="28">COUNT(E395:E427)*5</f>
        <v>0</v>
      </c>
      <c r="F430" s="1">
        <f t="shared" si="28"/>
        <v>0</v>
      </c>
      <c r="G430" s="1">
        <f t="shared" si="28"/>
        <v>0</v>
      </c>
      <c r="H430" s="1">
        <f t="shared" si="28"/>
        <v>0</v>
      </c>
      <c r="I430" s="1">
        <f t="shared" si="28"/>
        <v>0</v>
      </c>
      <c r="J430" s="1">
        <f t="shared" si="28"/>
        <v>0</v>
      </c>
      <c r="K430" s="1">
        <f t="shared" si="28"/>
        <v>0</v>
      </c>
      <c r="M430" s="18" t="e">
        <f>(D431+F431+H431+J431)/4</f>
        <v>#DIV/0!</v>
      </c>
      <c r="N430" s="18" t="e">
        <f>(E431+G431+I431+K431)/4</f>
        <v>#DIV/0!</v>
      </c>
    </row>
    <row r="431" spans="1:16" ht="15">
      <c r="B431"/>
      <c r="C431" s="2" t="s">
        <v>45</v>
      </c>
      <c r="D431" s="11" t="e">
        <f>D429/D430</f>
        <v>#DIV/0!</v>
      </c>
      <c r="E431" s="11" t="e">
        <f t="shared" ref="E431:K431" si="29">E429/E430</f>
        <v>#DIV/0!</v>
      </c>
      <c r="F431" s="11" t="e">
        <f t="shared" si="29"/>
        <v>#DIV/0!</v>
      </c>
      <c r="G431" s="11" t="e">
        <f t="shared" si="29"/>
        <v>#DIV/0!</v>
      </c>
      <c r="H431" s="11" t="e">
        <f t="shared" si="29"/>
        <v>#DIV/0!</v>
      </c>
      <c r="I431" s="11" t="e">
        <f t="shared" si="29"/>
        <v>#DIV/0!</v>
      </c>
      <c r="J431" s="11" t="e">
        <f t="shared" si="29"/>
        <v>#DIV/0!</v>
      </c>
      <c r="K431" s="11" t="e">
        <f t="shared" si="29"/>
        <v>#DIV/0!</v>
      </c>
      <c r="L431" s="4"/>
      <c r="M431" s="4"/>
      <c r="N431" s="4"/>
      <c r="O431" s="4"/>
      <c r="P431" s="4"/>
    </row>
    <row r="432" spans="1:16" s="22" customFormat="1"/>
    <row r="433" spans="1:16" ht="18">
      <c r="B433" s="16" t="s">
        <v>55</v>
      </c>
      <c r="C433" s="23" t="s">
        <v>6</v>
      </c>
      <c r="D433" s="75" t="s">
        <v>7</v>
      </c>
      <c r="E433" s="76"/>
      <c r="F433" s="75" t="s">
        <v>8</v>
      </c>
      <c r="G433" s="76"/>
      <c r="H433" s="75" t="s">
        <v>9</v>
      </c>
      <c r="I433" s="76"/>
      <c r="J433" s="75" t="s">
        <v>10</v>
      </c>
      <c r="K433" s="76"/>
    </row>
    <row r="434" spans="1:16" s="1" customFormat="1" ht="15">
      <c r="A434" s="77" t="s">
        <v>11</v>
      </c>
      <c r="B434" s="77" t="s">
        <v>12</v>
      </c>
      <c r="C434" s="6" t="s">
        <v>13</v>
      </c>
      <c r="D434" s="41"/>
      <c r="E434" s="29"/>
      <c r="F434" s="29"/>
      <c r="G434" s="29"/>
      <c r="H434" s="29"/>
      <c r="I434" s="29"/>
      <c r="J434" s="29"/>
      <c r="K434" s="29"/>
      <c r="L434" s="80" t="s">
        <v>14</v>
      </c>
      <c r="M434" s="81"/>
      <c r="N434" s="81"/>
      <c r="O434" s="81"/>
      <c r="P434" s="81"/>
    </row>
    <row r="435" spans="1:16" s="1" customFormat="1" ht="15">
      <c r="A435" s="78"/>
      <c r="B435" s="78"/>
      <c r="C435" s="6"/>
      <c r="D435" s="7" t="s">
        <v>2</v>
      </c>
      <c r="E435" s="7" t="s">
        <v>15</v>
      </c>
      <c r="F435" s="7" t="s">
        <v>2</v>
      </c>
      <c r="G435" s="7" t="s">
        <v>15</v>
      </c>
      <c r="H435" s="7" t="s">
        <v>2</v>
      </c>
      <c r="I435" s="7" t="s">
        <v>15</v>
      </c>
      <c r="J435" s="7" t="s">
        <v>2</v>
      </c>
      <c r="K435" s="7" t="s">
        <v>15</v>
      </c>
      <c r="L435" s="80"/>
      <c r="M435" s="81"/>
      <c r="N435" s="81"/>
      <c r="O435" s="81"/>
      <c r="P435" s="81"/>
    </row>
    <row r="436" spans="1:16" s="1" customFormat="1" ht="15">
      <c r="A436" s="79"/>
      <c r="B436" s="79"/>
      <c r="C436" s="6" t="s">
        <v>16</v>
      </c>
      <c r="D436" s="38"/>
      <c r="E436" s="6"/>
      <c r="F436" s="6"/>
      <c r="G436" s="6"/>
      <c r="H436" s="6"/>
      <c r="I436" s="6"/>
      <c r="J436" s="6"/>
      <c r="K436" s="6"/>
      <c r="L436" s="80"/>
      <c r="M436" s="81"/>
      <c r="N436" s="81"/>
      <c r="O436" s="81"/>
      <c r="P436" s="81"/>
    </row>
    <row r="437" spans="1:16" ht="15">
      <c r="A437" s="82">
        <v>1</v>
      </c>
      <c r="B437" s="84" t="s">
        <v>17</v>
      </c>
      <c r="C437" s="85"/>
      <c r="D437" s="67"/>
      <c r="E437" s="8"/>
      <c r="F437" s="8"/>
      <c r="G437" s="8"/>
      <c r="H437" s="8"/>
      <c r="I437" s="8"/>
      <c r="J437" s="8"/>
      <c r="K437" s="8"/>
      <c r="L437" s="86"/>
      <c r="M437" s="86"/>
      <c r="N437" s="86"/>
      <c r="O437" s="86"/>
      <c r="P437" s="86"/>
    </row>
    <row r="438" spans="1:16" ht="15">
      <c r="A438" s="83"/>
      <c r="B438" s="87" t="s">
        <v>18</v>
      </c>
      <c r="C438" s="88"/>
      <c r="D438" s="39"/>
      <c r="E438" s="9"/>
      <c r="F438" s="9"/>
      <c r="G438" s="9"/>
      <c r="H438" s="9"/>
      <c r="I438" s="9"/>
      <c r="J438" s="9"/>
      <c r="K438" s="9"/>
      <c r="L438" s="86"/>
      <c r="M438" s="86"/>
      <c r="N438" s="86"/>
      <c r="O438" s="86"/>
      <c r="P438" s="86"/>
    </row>
    <row r="439" spans="1:16" ht="15">
      <c r="A439" s="72">
        <v>2</v>
      </c>
      <c r="B439" s="73" t="s">
        <v>19</v>
      </c>
      <c r="C439" s="73"/>
      <c r="D439" s="67"/>
      <c r="E439" s="8"/>
      <c r="F439" s="8"/>
      <c r="G439" s="8"/>
      <c r="H439" s="8"/>
      <c r="I439" s="8"/>
      <c r="J439" s="8"/>
      <c r="K439" s="8"/>
      <c r="L439" s="86"/>
      <c r="M439" s="86"/>
      <c r="N439" s="86"/>
      <c r="O439" s="86"/>
      <c r="P439" s="86"/>
    </row>
    <row r="440" spans="1:16" ht="15">
      <c r="A440" s="72"/>
      <c r="B440" s="70" t="s">
        <v>18</v>
      </c>
      <c r="C440" s="70"/>
      <c r="D440" s="39"/>
      <c r="E440" s="9"/>
      <c r="F440" s="9"/>
      <c r="G440" s="9"/>
      <c r="H440" s="9"/>
      <c r="I440" s="9"/>
      <c r="J440" s="9"/>
      <c r="K440" s="9"/>
      <c r="L440" s="86"/>
      <c r="M440" s="86"/>
      <c r="N440" s="86"/>
      <c r="O440" s="86"/>
      <c r="P440" s="86"/>
    </row>
    <row r="441" spans="1:16" ht="15">
      <c r="A441" s="72">
        <v>3</v>
      </c>
      <c r="B441" s="73" t="s">
        <v>20</v>
      </c>
      <c r="C441" s="73"/>
      <c r="D441" s="40"/>
      <c r="E441" s="10"/>
      <c r="F441" s="10"/>
      <c r="G441" s="10"/>
      <c r="H441" s="10"/>
      <c r="I441" s="10"/>
      <c r="J441" s="10"/>
      <c r="K441" s="10"/>
      <c r="L441" s="86"/>
      <c r="M441" s="86"/>
      <c r="N441" s="86"/>
      <c r="O441" s="86"/>
      <c r="P441" s="86"/>
    </row>
    <row r="442" spans="1:16" ht="15" customHeight="1">
      <c r="A442" s="72"/>
      <c r="B442" s="74" t="s">
        <v>21</v>
      </c>
      <c r="C442" s="74"/>
      <c r="D442" s="67"/>
      <c r="E442" s="8"/>
      <c r="F442" s="8"/>
      <c r="G442" s="8"/>
      <c r="H442" s="8"/>
      <c r="I442" s="8"/>
      <c r="J442" s="8"/>
      <c r="K442" s="8"/>
      <c r="L442" s="86"/>
      <c r="M442" s="86"/>
      <c r="N442" s="86"/>
      <c r="O442" s="86"/>
      <c r="P442" s="86"/>
    </row>
    <row r="443" spans="1:16" ht="15" customHeight="1">
      <c r="A443" s="72"/>
      <c r="B443" s="74" t="s">
        <v>22</v>
      </c>
      <c r="C443" s="74"/>
      <c r="D443" s="67"/>
      <c r="E443" s="8"/>
      <c r="F443" s="8"/>
      <c r="G443" s="8"/>
      <c r="H443" s="8"/>
      <c r="I443" s="8"/>
      <c r="J443" s="8"/>
      <c r="K443" s="8"/>
      <c r="L443" s="86"/>
      <c r="M443" s="86"/>
      <c r="N443" s="86"/>
      <c r="O443" s="86"/>
      <c r="P443" s="86"/>
    </row>
    <row r="444" spans="1:16" ht="15" customHeight="1">
      <c r="A444" s="72"/>
      <c r="B444" s="74" t="s">
        <v>23</v>
      </c>
      <c r="C444" s="74"/>
      <c r="D444" s="67"/>
      <c r="E444" s="8"/>
      <c r="F444" s="8"/>
      <c r="G444" s="8"/>
      <c r="H444" s="8"/>
      <c r="I444" s="8"/>
      <c r="J444" s="8"/>
      <c r="K444" s="8"/>
      <c r="L444" s="86"/>
      <c r="M444" s="86"/>
      <c r="N444" s="86"/>
      <c r="O444" s="86"/>
      <c r="P444" s="86"/>
    </row>
    <row r="445" spans="1:16" ht="15">
      <c r="A445" s="72"/>
      <c r="B445" s="70" t="s">
        <v>18</v>
      </c>
      <c r="C445" s="70"/>
      <c r="D445" s="39"/>
      <c r="E445" s="9"/>
      <c r="F445" s="9"/>
      <c r="G445" s="9"/>
      <c r="H445" s="9"/>
      <c r="I445" s="9"/>
      <c r="J445" s="9"/>
      <c r="K445" s="9"/>
      <c r="L445" s="86"/>
      <c r="M445" s="86"/>
      <c r="N445" s="86"/>
      <c r="O445" s="86"/>
      <c r="P445" s="86"/>
    </row>
    <row r="446" spans="1:16" ht="15">
      <c r="A446" s="72">
        <v>4</v>
      </c>
      <c r="B446" s="73" t="s">
        <v>24</v>
      </c>
      <c r="C446" s="73"/>
      <c r="D446" s="40"/>
      <c r="E446" s="10"/>
      <c r="F446" s="10"/>
      <c r="G446" s="10"/>
      <c r="H446" s="10"/>
      <c r="I446" s="10"/>
      <c r="J446" s="10"/>
      <c r="K446" s="10"/>
      <c r="L446" s="86"/>
      <c r="M446" s="86"/>
      <c r="N446" s="86"/>
      <c r="O446" s="86"/>
      <c r="P446" s="86"/>
    </row>
    <row r="447" spans="1:16" ht="15" customHeight="1">
      <c r="A447" s="72"/>
      <c r="B447" s="74" t="s">
        <v>25</v>
      </c>
      <c r="C447" s="74"/>
      <c r="D447" s="67"/>
      <c r="E447" s="8"/>
      <c r="F447" s="8"/>
      <c r="G447" s="8"/>
      <c r="H447" s="8"/>
      <c r="I447" s="8"/>
      <c r="J447" s="8"/>
      <c r="K447" s="8"/>
      <c r="L447" s="86"/>
      <c r="M447" s="86"/>
      <c r="N447" s="86"/>
      <c r="O447" s="86"/>
      <c r="P447" s="86"/>
    </row>
    <row r="448" spans="1:16" ht="15" customHeight="1">
      <c r="A448" s="72"/>
      <c r="B448" s="74" t="s">
        <v>26</v>
      </c>
      <c r="C448" s="74"/>
      <c r="D448" s="67"/>
      <c r="E448" s="8"/>
      <c r="F448" s="8"/>
      <c r="G448" s="8"/>
      <c r="H448" s="8"/>
      <c r="I448" s="8"/>
      <c r="J448" s="8"/>
      <c r="K448" s="8"/>
      <c r="L448" s="86"/>
      <c r="M448" s="86"/>
      <c r="N448" s="86"/>
      <c r="O448" s="86"/>
      <c r="P448" s="86"/>
    </row>
    <row r="449" spans="1:16" ht="15">
      <c r="A449" s="72"/>
      <c r="B449" s="70" t="s">
        <v>18</v>
      </c>
      <c r="C449" s="70"/>
      <c r="D449" s="39"/>
      <c r="E449" s="9"/>
      <c r="F449" s="9"/>
      <c r="G449" s="9"/>
      <c r="H449" s="9"/>
      <c r="I449" s="9"/>
      <c r="J449" s="9"/>
      <c r="K449" s="9"/>
      <c r="L449" s="86"/>
      <c r="M449" s="86"/>
      <c r="N449" s="86"/>
      <c r="O449" s="86"/>
      <c r="P449" s="86"/>
    </row>
    <row r="450" spans="1:16" ht="15">
      <c r="A450" s="72">
        <v>5</v>
      </c>
      <c r="B450" s="73" t="s">
        <v>27</v>
      </c>
      <c r="C450" s="73"/>
      <c r="D450" s="67"/>
      <c r="E450" s="8"/>
      <c r="F450" s="8"/>
      <c r="G450" s="8"/>
      <c r="H450" s="8"/>
      <c r="I450" s="8"/>
      <c r="J450" s="8"/>
      <c r="K450" s="8"/>
      <c r="L450" s="86"/>
      <c r="M450" s="86"/>
      <c r="N450" s="86"/>
      <c r="O450" s="86"/>
      <c r="P450" s="86"/>
    </row>
    <row r="451" spans="1:16" ht="15">
      <c r="A451" s="72"/>
      <c r="B451" s="70" t="s">
        <v>18</v>
      </c>
      <c r="C451" s="70"/>
      <c r="D451" s="39"/>
      <c r="E451" s="9"/>
      <c r="F451" s="9"/>
      <c r="G451" s="9"/>
      <c r="H451" s="9"/>
      <c r="I451" s="9"/>
      <c r="J451" s="9"/>
      <c r="K451" s="9"/>
      <c r="L451" s="86"/>
      <c r="M451" s="86"/>
      <c r="N451" s="86"/>
      <c r="O451" s="86"/>
      <c r="P451" s="86"/>
    </row>
    <row r="452" spans="1:16" ht="15">
      <c r="A452" s="72">
        <v>6</v>
      </c>
      <c r="B452" s="73" t="s">
        <v>28</v>
      </c>
      <c r="C452" s="73"/>
      <c r="D452" s="40"/>
      <c r="E452" s="10"/>
      <c r="F452" s="10"/>
      <c r="G452" s="10"/>
      <c r="H452" s="10"/>
      <c r="I452" s="10"/>
      <c r="J452" s="10"/>
      <c r="K452" s="10"/>
      <c r="L452" s="86"/>
      <c r="M452" s="86"/>
      <c r="N452" s="86"/>
      <c r="O452" s="86"/>
      <c r="P452" s="86"/>
    </row>
    <row r="453" spans="1:16" ht="15" customHeight="1">
      <c r="A453" s="72"/>
      <c r="B453" s="74" t="s">
        <v>29</v>
      </c>
      <c r="C453" s="74"/>
      <c r="D453" s="67"/>
      <c r="E453" s="8"/>
      <c r="F453" s="8"/>
      <c r="G453" s="8"/>
      <c r="H453" s="8"/>
      <c r="I453" s="8"/>
      <c r="J453" s="8"/>
      <c r="K453" s="8"/>
      <c r="L453" s="86"/>
      <c r="M453" s="86"/>
      <c r="N453" s="86"/>
      <c r="O453" s="86"/>
      <c r="P453" s="86"/>
    </row>
    <row r="454" spans="1:16" ht="15" customHeight="1">
      <c r="A454" s="72"/>
      <c r="B454" s="74" t="s">
        <v>30</v>
      </c>
      <c r="C454" s="74"/>
      <c r="D454" s="67"/>
      <c r="E454" s="8"/>
      <c r="F454" s="8"/>
      <c r="G454" s="8"/>
      <c r="H454" s="8"/>
      <c r="I454" s="8"/>
      <c r="J454" s="8"/>
      <c r="K454" s="8"/>
      <c r="L454" s="86"/>
      <c r="M454" s="86"/>
      <c r="N454" s="86"/>
      <c r="O454" s="86"/>
      <c r="P454" s="86"/>
    </row>
    <row r="455" spans="1:16" ht="15" customHeight="1">
      <c r="A455" s="72"/>
      <c r="B455" s="74" t="s">
        <v>31</v>
      </c>
      <c r="C455" s="74"/>
      <c r="D455" s="67"/>
      <c r="E455" s="8"/>
      <c r="F455" s="8"/>
      <c r="G455" s="8"/>
      <c r="H455" s="8"/>
      <c r="I455" s="8"/>
      <c r="J455" s="8"/>
      <c r="K455" s="8"/>
      <c r="L455" s="86"/>
      <c r="M455" s="86"/>
      <c r="N455" s="86"/>
      <c r="O455" s="86"/>
      <c r="P455" s="86"/>
    </row>
    <row r="456" spans="1:16" ht="15" customHeight="1">
      <c r="A456" s="72"/>
      <c r="B456" s="74" t="s">
        <v>32</v>
      </c>
      <c r="C456" s="74"/>
      <c r="D456" s="67"/>
      <c r="E456" s="8"/>
      <c r="F456" s="8"/>
      <c r="G456" s="8"/>
      <c r="H456" s="8"/>
      <c r="I456" s="8"/>
      <c r="J456" s="8"/>
      <c r="K456" s="8"/>
      <c r="L456" s="86"/>
      <c r="M456" s="86"/>
      <c r="N456" s="86"/>
      <c r="O456" s="86"/>
      <c r="P456" s="86"/>
    </row>
    <row r="457" spans="1:16" ht="15" customHeight="1">
      <c r="A457" s="72"/>
      <c r="B457" s="74" t="s">
        <v>33</v>
      </c>
      <c r="C457" s="74"/>
      <c r="D457" s="67"/>
      <c r="E457" s="8"/>
      <c r="F457" s="8"/>
      <c r="G457" s="8"/>
      <c r="H457" s="8"/>
      <c r="I457" s="8"/>
      <c r="J457" s="8"/>
      <c r="K457" s="8"/>
      <c r="L457" s="86"/>
      <c r="M457" s="86"/>
      <c r="N457" s="86"/>
      <c r="O457" s="86"/>
      <c r="P457" s="86"/>
    </row>
    <row r="458" spans="1:16" ht="15">
      <c r="A458" s="72"/>
      <c r="B458" s="70" t="s">
        <v>18</v>
      </c>
      <c r="C458" s="70"/>
      <c r="D458" s="39"/>
      <c r="E458" s="9"/>
      <c r="F458" s="9"/>
      <c r="G458" s="9"/>
      <c r="H458" s="9"/>
      <c r="I458" s="9"/>
      <c r="J458" s="9"/>
      <c r="K458" s="9"/>
      <c r="L458" s="86"/>
      <c r="M458" s="86"/>
      <c r="N458" s="86"/>
      <c r="O458" s="86"/>
      <c r="P458" s="86"/>
    </row>
    <row r="459" spans="1:16" ht="15">
      <c r="A459" s="72">
        <v>7</v>
      </c>
      <c r="B459" s="73" t="s">
        <v>34</v>
      </c>
      <c r="C459" s="73"/>
      <c r="D459" s="40"/>
      <c r="E459" s="10"/>
      <c r="F459" s="10"/>
      <c r="G459" s="10"/>
      <c r="H459" s="10"/>
      <c r="I459" s="10"/>
      <c r="J459" s="10"/>
      <c r="K459" s="10"/>
      <c r="L459" s="86"/>
      <c r="M459" s="86"/>
      <c r="N459" s="86"/>
      <c r="O459" s="86"/>
      <c r="P459" s="86"/>
    </row>
    <row r="460" spans="1:16" ht="15" customHeight="1">
      <c r="A460" s="72"/>
      <c r="B460" s="74" t="s">
        <v>35</v>
      </c>
      <c r="C460" s="74"/>
      <c r="D460" s="67"/>
      <c r="E460" s="8"/>
      <c r="F460" s="8"/>
      <c r="G460" s="8"/>
      <c r="H460" s="8"/>
      <c r="I460" s="8"/>
      <c r="J460" s="8"/>
      <c r="K460" s="8"/>
      <c r="L460" s="86"/>
      <c r="M460" s="86"/>
      <c r="N460" s="86"/>
      <c r="O460" s="86"/>
      <c r="P460" s="86"/>
    </row>
    <row r="461" spans="1:16" ht="15" customHeight="1">
      <c r="A461" s="72"/>
      <c r="B461" s="74" t="s">
        <v>36</v>
      </c>
      <c r="C461" s="74"/>
      <c r="D461" s="67"/>
      <c r="E461" s="8"/>
      <c r="F461" s="8"/>
      <c r="G461" s="8"/>
      <c r="H461" s="8"/>
      <c r="I461" s="8"/>
      <c r="J461" s="8"/>
      <c r="K461" s="8"/>
      <c r="L461" s="86"/>
      <c r="M461" s="86"/>
      <c r="N461" s="86"/>
      <c r="O461" s="86"/>
      <c r="P461" s="86"/>
    </row>
    <row r="462" spans="1:16" ht="15" customHeight="1">
      <c r="A462" s="72"/>
      <c r="B462" s="74" t="s">
        <v>37</v>
      </c>
      <c r="C462" s="74"/>
      <c r="D462" s="67"/>
      <c r="E462" s="8"/>
      <c r="F462" s="8"/>
      <c r="G462" s="8"/>
      <c r="H462" s="8"/>
      <c r="I462" s="8"/>
      <c r="J462" s="8"/>
      <c r="K462" s="8"/>
      <c r="L462" s="86"/>
      <c r="M462" s="86"/>
      <c r="N462" s="86"/>
      <c r="O462" s="86"/>
      <c r="P462" s="86"/>
    </row>
    <row r="463" spans="1:16" ht="15" customHeight="1">
      <c r="A463" s="72"/>
      <c r="B463" s="74" t="s">
        <v>38</v>
      </c>
      <c r="C463" s="74"/>
      <c r="D463" s="67"/>
      <c r="E463" s="8"/>
      <c r="F463" s="8"/>
      <c r="G463" s="8"/>
      <c r="H463" s="8"/>
      <c r="I463" s="8"/>
      <c r="J463" s="8"/>
      <c r="K463" s="8"/>
      <c r="L463" s="86"/>
      <c r="M463" s="86"/>
      <c r="N463" s="86"/>
      <c r="O463" s="86"/>
      <c r="P463" s="86"/>
    </row>
    <row r="464" spans="1:16" ht="15" customHeight="1">
      <c r="A464" s="72"/>
      <c r="B464" s="74" t="s">
        <v>39</v>
      </c>
      <c r="C464" s="74"/>
      <c r="D464" s="67"/>
      <c r="E464" s="8"/>
      <c r="F464" s="8"/>
      <c r="G464" s="8"/>
      <c r="H464" s="8"/>
      <c r="I464" s="8"/>
      <c r="J464" s="8"/>
      <c r="K464" s="8"/>
      <c r="L464" s="86"/>
      <c r="M464" s="86"/>
      <c r="N464" s="86"/>
      <c r="O464" s="86"/>
      <c r="P464" s="86"/>
    </row>
    <row r="465" spans="1:16" ht="15" customHeight="1">
      <c r="A465" s="72"/>
      <c r="B465" s="74" t="s">
        <v>40</v>
      </c>
      <c r="C465" s="74"/>
      <c r="D465" s="67"/>
      <c r="E465" s="8"/>
      <c r="F465" s="8"/>
      <c r="G465" s="8"/>
      <c r="H465" s="8"/>
      <c r="I465" s="8"/>
      <c r="J465" s="8"/>
      <c r="K465" s="8"/>
      <c r="L465" s="86"/>
      <c r="M465" s="86"/>
      <c r="N465" s="86"/>
      <c r="O465" s="86"/>
      <c r="P465" s="86"/>
    </row>
    <row r="466" spans="1:16" ht="15" customHeight="1">
      <c r="A466" s="72"/>
      <c r="B466" s="74" t="s">
        <v>41</v>
      </c>
      <c r="C466" s="74"/>
      <c r="D466" s="67"/>
      <c r="E466" s="8"/>
      <c r="F466" s="8"/>
      <c r="G466" s="8"/>
      <c r="H466" s="8"/>
      <c r="I466" s="8"/>
      <c r="J466" s="8"/>
      <c r="K466" s="8"/>
      <c r="L466" s="86"/>
      <c r="M466" s="86"/>
      <c r="N466" s="86"/>
      <c r="O466" s="86"/>
      <c r="P466" s="86"/>
    </row>
    <row r="467" spans="1:16" ht="15" customHeight="1">
      <c r="A467" s="72"/>
      <c r="B467" s="74" t="s">
        <v>42</v>
      </c>
      <c r="C467" s="74"/>
      <c r="D467" s="67"/>
      <c r="E467" s="8"/>
      <c r="F467" s="8"/>
      <c r="G467" s="8"/>
      <c r="H467" s="8"/>
      <c r="I467" s="8"/>
      <c r="J467" s="8"/>
      <c r="K467" s="8"/>
      <c r="L467" s="86"/>
      <c r="M467" s="86"/>
      <c r="N467" s="86"/>
      <c r="O467" s="86"/>
      <c r="P467" s="86"/>
    </row>
    <row r="468" spans="1:16" ht="15" customHeight="1">
      <c r="A468" s="72"/>
      <c r="B468" s="68" t="s">
        <v>43</v>
      </c>
      <c r="C468" s="69"/>
      <c r="D468" s="67"/>
      <c r="E468" s="8"/>
      <c r="F468" s="8"/>
      <c r="G468" s="8"/>
      <c r="H468" s="8"/>
      <c r="I468" s="8"/>
      <c r="J468" s="8"/>
      <c r="K468" s="8"/>
      <c r="L468" s="86"/>
      <c r="M468" s="86"/>
      <c r="N468" s="86"/>
      <c r="O468" s="86"/>
      <c r="P468" s="86"/>
    </row>
    <row r="469" spans="1:16" ht="15">
      <c r="A469" s="72"/>
      <c r="B469" s="70" t="s">
        <v>18</v>
      </c>
      <c r="C469" s="70"/>
      <c r="D469" s="39"/>
      <c r="E469" s="9"/>
      <c r="F469" s="9"/>
      <c r="G469" s="9"/>
      <c r="H469" s="9"/>
      <c r="I469" s="9"/>
      <c r="J469" s="9"/>
      <c r="K469" s="9"/>
      <c r="L469" s="86"/>
      <c r="M469" s="86"/>
      <c r="N469" s="86"/>
      <c r="O469" s="86"/>
      <c r="P469" s="86"/>
    </row>
    <row r="470" spans="1:16">
      <c r="B470"/>
    </row>
    <row r="471" spans="1:16" ht="15">
      <c r="B471" s="71" t="s">
        <v>44</v>
      </c>
      <c r="C471" s="71"/>
      <c r="D471" s="1">
        <f>SUM(D437:D468)</f>
        <v>0</v>
      </c>
      <c r="E471" s="1">
        <f t="shared" ref="E471:K471" si="30">SUM(E437:E468)</f>
        <v>0</v>
      </c>
      <c r="F471" s="1">
        <f t="shared" si="30"/>
        <v>0</v>
      </c>
      <c r="G471" s="1">
        <f t="shared" si="30"/>
        <v>0</v>
      </c>
      <c r="H471" s="1">
        <f t="shared" si="30"/>
        <v>0</v>
      </c>
      <c r="I471" s="1">
        <f t="shared" si="30"/>
        <v>0</v>
      </c>
      <c r="J471" s="1">
        <f t="shared" si="30"/>
        <v>0</v>
      </c>
      <c r="K471" s="1">
        <f t="shared" si="30"/>
        <v>0</v>
      </c>
      <c r="M471" s="17" t="s">
        <v>2</v>
      </c>
      <c r="N471" s="17" t="s">
        <v>3</v>
      </c>
    </row>
    <row r="472" spans="1:16" ht="15">
      <c r="B472"/>
      <c r="C472" s="64"/>
      <c r="D472" s="1">
        <f>COUNT(D437:D469)*5</f>
        <v>0</v>
      </c>
      <c r="E472" s="1">
        <f t="shared" ref="E472:K472" si="31">COUNT(E437:E469)*5</f>
        <v>0</v>
      </c>
      <c r="F472" s="1">
        <f t="shared" si="31"/>
        <v>0</v>
      </c>
      <c r="G472" s="1">
        <f t="shared" si="31"/>
        <v>0</v>
      </c>
      <c r="H472" s="1">
        <f t="shared" si="31"/>
        <v>0</v>
      </c>
      <c r="I472" s="1">
        <f t="shared" si="31"/>
        <v>0</v>
      </c>
      <c r="J472" s="1">
        <f t="shared" si="31"/>
        <v>0</v>
      </c>
      <c r="K472" s="1">
        <f t="shared" si="31"/>
        <v>0</v>
      </c>
      <c r="M472" s="18" t="e">
        <f>(D473+F473+H473+J473)/4</f>
        <v>#DIV/0!</v>
      </c>
      <c r="N472" s="18" t="e">
        <f>(E473+G473+I473+K473)/4</f>
        <v>#DIV/0!</v>
      </c>
    </row>
    <row r="473" spans="1:16" ht="15">
      <c r="B473"/>
      <c r="C473" s="2" t="s">
        <v>45</v>
      </c>
      <c r="D473" s="11" t="e">
        <f>D471/D472</f>
        <v>#DIV/0!</v>
      </c>
      <c r="E473" s="11" t="e">
        <f t="shared" ref="E473:K473" si="32">E471/E472</f>
        <v>#DIV/0!</v>
      </c>
      <c r="F473" s="11" t="e">
        <f t="shared" si="32"/>
        <v>#DIV/0!</v>
      </c>
      <c r="G473" s="11" t="e">
        <f t="shared" si="32"/>
        <v>#DIV/0!</v>
      </c>
      <c r="H473" s="11" t="e">
        <f t="shared" si="32"/>
        <v>#DIV/0!</v>
      </c>
      <c r="I473" s="11" t="e">
        <f t="shared" si="32"/>
        <v>#DIV/0!</v>
      </c>
      <c r="J473" s="11" t="e">
        <f t="shared" si="32"/>
        <v>#DIV/0!</v>
      </c>
      <c r="K473" s="11" t="e">
        <f t="shared" si="32"/>
        <v>#DIV/0!</v>
      </c>
      <c r="L473" s="4"/>
      <c r="M473" s="4"/>
      <c r="N473" s="4"/>
      <c r="O473" s="4"/>
      <c r="P473" s="4"/>
    </row>
    <row r="474" spans="1:16" s="22" customFormat="1"/>
    <row r="475" spans="1:16" ht="18">
      <c r="B475" s="16" t="s">
        <v>56</v>
      </c>
      <c r="C475" s="23" t="s">
        <v>6</v>
      </c>
      <c r="D475" s="75" t="s">
        <v>7</v>
      </c>
      <c r="E475" s="76"/>
      <c r="F475" s="75" t="s">
        <v>8</v>
      </c>
      <c r="G475" s="76"/>
      <c r="H475" s="75" t="s">
        <v>9</v>
      </c>
      <c r="I475" s="76"/>
      <c r="J475" s="75" t="s">
        <v>10</v>
      </c>
      <c r="K475" s="76"/>
    </row>
    <row r="476" spans="1:16" s="1" customFormat="1" ht="15">
      <c r="A476" s="77" t="s">
        <v>11</v>
      </c>
      <c r="B476" s="77" t="s">
        <v>12</v>
      </c>
      <c r="C476" s="6" t="s">
        <v>13</v>
      </c>
      <c r="D476" s="41"/>
      <c r="E476" s="29"/>
      <c r="F476" s="29"/>
      <c r="G476" s="29"/>
      <c r="H476" s="29"/>
      <c r="I476" s="29"/>
      <c r="J476" s="29"/>
      <c r="K476" s="29"/>
      <c r="L476" s="80" t="s">
        <v>14</v>
      </c>
      <c r="M476" s="81"/>
      <c r="N476" s="81"/>
      <c r="O476" s="81"/>
      <c r="P476" s="81"/>
    </row>
    <row r="477" spans="1:16" s="1" customFormat="1" ht="15">
      <c r="A477" s="78"/>
      <c r="B477" s="78"/>
      <c r="C477" s="6"/>
      <c r="D477" s="7" t="s">
        <v>2</v>
      </c>
      <c r="E477" s="7" t="s">
        <v>15</v>
      </c>
      <c r="F477" s="7" t="s">
        <v>2</v>
      </c>
      <c r="G477" s="7" t="s">
        <v>15</v>
      </c>
      <c r="H477" s="7" t="s">
        <v>2</v>
      </c>
      <c r="I477" s="7" t="s">
        <v>15</v>
      </c>
      <c r="J477" s="7" t="s">
        <v>2</v>
      </c>
      <c r="K477" s="7" t="s">
        <v>15</v>
      </c>
      <c r="L477" s="80"/>
      <c r="M477" s="81"/>
      <c r="N477" s="81"/>
      <c r="O477" s="81"/>
      <c r="P477" s="81"/>
    </row>
    <row r="478" spans="1:16" s="1" customFormat="1" ht="15">
      <c r="A478" s="79"/>
      <c r="B478" s="79"/>
      <c r="C478" s="6" t="s">
        <v>16</v>
      </c>
      <c r="D478" s="38"/>
      <c r="E478" s="6"/>
      <c r="F478" s="6"/>
      <c r="G478" s="6"/>
      <c r="H478" s="6"/>
      <c r="I478" s="6"/>
      <c r="J478" s="6"/>
      <c r="K478" s="6"/>
      <c r="L478" s="80"/>
      <c r="M478" s="81"/>
      <c r="N478" s="81"/>
      <c r="O478" s="81"/>
      <c r="P478" s="81"/>
    </row>
    <row r="479" spans="1:16" ht="15">
      <c r="A479" s="82">
        <v>1</v>
      </c>
      <c r="B479" s="84" t="s">
        <v>17</v>
      </c>
      <c r="C479" s="85"/>
      <c r="D479" s="67"/>
      <c r="E479" s="8"/>
      <c r="F479" s="8"/>
      <c r="G479" s="8"/>
      <c r="H479" s="8"/>
      <c r="I479" s="8"/>
      <c r="J479" s="8"/>
      <c r="K479" s="8"/>
      <c r="L479" s="86"/>
      <c r="M479" s="86"/>
      <c r="N479" s="86"/>
      <c r="O479" s="86"/>
      <c r="P479" s="86"/>
    </row>
    <row r="480" spans="1:16" ht="15">
      <c r="A480" s="83"/>
      <c r="B480" s="87" t="s">
        <v>18</v>
      </c>
      <c r="C480" s="88"/>
      <c r="D480" s="39"/>
      <c r="E480" s="9"/>
      <c r="F480" s="9"/>
      <c r="G480" s="9"/>
      <c r="H480" s="9"/>
      <c r="I480" s="9"/>
      <c r="J480" s="9"/>
      <c r="K480" s="9"/>
      <c r="L480" s="86"/>
      <c r="M480" s="86"/>
      <c r="N480" s="86"/>
      <c r="O480" s="86"/>
      <c r="P480" s="86"/>
    </row>
    <row r="481" spans="1:16" ht="15">
      <c r="A481" s="72">
        <v>2</v>
      </c>
      <c r="B481" s="73" t="s">
        <v>19</v>
      </c>
      <c r="C481" s="73"/>
      <c r="D481" s="67"/>
      <c r="E481" s="8"/>
      <c r="F481" s="8"/>
      <c r="G481" s="8"/>
      <c r="H481" s="8"/>
      <c r="I481" s="8"/>
      <c r="J481" s="8"/>
      <c r="K481" s="8"/>
      <c r="L481" s="86"/>
      <c r="M481" s="86"/>
      <c r="N481" s="86"/>
      <c r="O481" s="86"/>
      <c r="P481" s="86"/>
    </row>
    <row r="482" spans="1:16" ht="15">
      <c r="A482" s="72"/>
      <c r="B482" s="70" t="s">
        <v>18</v>
      </c>
      <c r="C482" s="70"/>
      <c r="D482" s="39"/>
      <c r="E482" s="9"/>
      <c r="F482" s="9"/>
      <c r="G482" s="9"/>
      <c r="H482" s="9"/>
      <c r="I482" s="9"/>
      <c r="J482" s="9"/>
      <c r="K482" s="9"/>
      <c r="L482" s="86"/>
      <c r="M482" s="86"/>
      <c r="N482" s="86"/>
      <c r="O482" s="86"/>
      <c r="P482" s="86"/>
    </row>
    <row r="483" spans="1:16" ht="15">
      <c r="A483" s="72">
        <v>3</v>
      </c>
      <c r="B483" s="73" t="s">
        <v>20</v>
      </c>
      <c r="C483" s="73"/>
      <c r="D483" s="40"/>
      <c r="E483" s="10"/>
      <c r="F483" s="10"/>
      <c r="G483" s="10"/>
      <c r="H483" s="10"/>
      <c r="I483" s="10"/>
      <c r="J483" s="10"/>
      <c r="K483" s="10"/>
      <c r="L483" s="86"/>
      <c r="M483" s="86"/>
      <c r="N483" s="86"/>
      <c r="O483" s="86"/>
      <c r="P483" s="86"/>
    </row>
    <row r="484" spans="1:16" ht="15" customHeight="1">
      <c r="A484" s="72"/>
      <c r="B484" s="74" t="s">
        <v>21</v>
      </c>
      <c r="C484" s="74"/>
      <c r="D484" s="67"/>
      <c r="E484" s="8"/>
      <c r="F484" s="8"/>
      <c r="G484" s="8"/>
      <c r="H484" s="8"/>
      <c r="I484" s="8"/>
      <c r="J484" s="8"/>
      <c r="K484" s="8"/>
      <c r="L484" s="86"/>
      <c r="M484" s="86"/>
      <c r="N484" s="86"/>
      <c r="O484" s="86"/>
      <c r="P484" s="86"/>
    </row>
    <row r="485" spans="1:16" ht="15" customHeight="1">
      <c r="A485" s="72"/>
      <c r="B485" s="74" t="s">
        <v>22</v>
      </c>
      <c r="C485" s="74"/>
      <c r="D485" s="67"/>
      <c r="E485" s="8"/>
      <c r="F485" s="8"/>
      <c r="G485" s="8"/>
      <c r="H485" s="8"/>
      <c r="I485" s="8"/>
      <c r="J485" s="8"/>
      <c r="K485" s="8"/>
      <c r="L485" s="86"/>
      <c r="M485" s="86"/>
      <c r="N485" s="86"/>
      <c r="O485" s="86"/>
      <c r="P485" s="86"/>
    </row>
    <row r="486" spans="1:16" ht="15" customHeight="1">
      <c r="A486" s="72"/>
      <c r="B486" s="74" t="s">
        <v>23</v>
      </c>
      <c r="C486" s="74"/>
      <c r="D486" s="67"/>
      <c r="E486" s="8"/>
      <c r="F486" s="8"/>
      <c r="G486" s="8"/>
      <c r="H486" s="8"/>
      <c r="I486" s="8"/>
      <c r="J486" s="8"/>
      <c r="K486" s="8"/>
      <c r="L486" s="86"/>
      <c r="M486" s="86"/>
      <c r="N486" s="86"/>
      <c r="O486" s="86"/>
      <c r="P486" s="86"/>
    </row>
    <row r="487" spans="1:16" ht="15">
      <c r="A487" s="72"/>
      <c r="B487" s="70" t="s">
        <v>18</v>
      </c>
      <c r="C487" s="70"/>
      <c r="D487" s="39"/>
      <c r="E487" s="9"/>
      <c r="F487" s="9"/>
      <c r="G487" s="9"/>
      <c r="H487" s="9"/>
      <c r="I487" s="9"/>
      <c r="J487" s="9"/>
      <c r="K487" s="9"/>
      <c r="L487" s="86"/>
      <c r="M487" s="86"/>
      <c r="N487" s="86"/>
      <c r="O487" s="86"/>
      <c r="P487" s="86"/>
    </row>
    <row r="488" spans="1:16" ht="15">
      <c r="A488" s="72">
        <v>4</v>
      </c>
      <c r="B488" s="73" t="s">
        <v>24</v>
      </c>
      <c r="C488" s="73"/>
      <c r="D488" s="40"/>
      <c r="E488" s="10"/>
      <c r="F488" s="10"/>
      <c r="G488" s="10"/>
      <c r="H488" s="10"/>
      <c r="I488" s="10"/>
      <c r="J488" s="10"/>
      <c r="K488" s="10"/>
      <c r="L488" s="86"/>
      <c r="M488" s="86"/>
      <c r="N488" s="86"/>
      <c r="O488" s="86"/>
      <c r="P488" s="86"/>
    </row>
    <row r="489" spans="1:16" ht="15" customHeight="1">
      <c r="A489" s="72"/>
      <c r="B489" s="74" t="s">
        <v>25</v>
      </c>
      <c r="C489" s="74"/>
      <c r="D489" s="67"/>
      <c r="E489" s="8"/>
      <c r="F489" s="8"/>
      <c r="G489" s="8"/>
      <c r="H489" s="8"/>
      <c r="I489" s="8"/>
      <c r="J489" s="8"/>
      <c r="K489" s="8"/>
      <c r="L489" s="86"/>
      <c r="M489" s="86"/>
      <c r="N489" s="86"/>
      <c r="O489" s="86"/>
      <c r="P489" s="86"/>
    </row>
    <row r="490" spans="1:16" ht="15" customHeight="1">
      <c r="A490" s="72"/>
      <c r="B490" s="74" t="s">
        <v>26</v>
      </c>
      <c r="C490" s="74"/>
      <c r="D490" s="67"/>
      <c r="E490" s="8"/>
      <c r="F490" s="8"/>
      <c r="G490" s="8"/>
      <c r="H490" s="8"/>
      <c r="I490" s="8"/>
      <c r="J490" s="8"/>
      <c r="K490" s="8"/>
      <c r="L490" s="86"/>
      <c r="M490" s="86"/>
      <c r="N490" s="86"/>
      <c r="O490" s="86"/>
      <c r="P490" s="86"/>
    </row>
    <row r="491" spans="1:16" ht="15">
      <c r="A491" s="72"/>
      <c r="B491" s="70" t="s">
        <v>18</v>
      </c>
      <c r="C491" s="70"/>
      <c r="D491" s="39"/>
      <c r="E491" s="9"/>
      <c r="F491" s="9"/>
      <c r="G491" s="9"/>
      <c r="H491" s="9"/>
      <c r="I491" s="9"/>
      <c r="J491" s="9"/>
      <c r="K491" s="9"/>
      <c r="L491" s="86"/>
      <c r="M491" s="86"/>
      <c r="N491" s="86"/>
      <c r="O491" s="86"/>
      <c r="P491" s="86"/>
    </row>
    <row r="492" spans="1:16" ht="15">
      <c r="A492" s="72">
        <v>5</v>
      </c>
      <c r="B492" s="73" t="s">
        <v>27</v>
      </c>
      <c r="C492" s="73"/>
      <c r="D492" s="67"/>
      <c r="E492" s="8"/>
      <c r="F492" s="8"/>
      <c r="G492" s="8"/>
      <c r="H492" s="8"/>
      <c r="I492" s="8"/>
      <c r="J492" s="8"/>
      <c r="K492" s="8"/>
      <c r="L492" s="86"/>
      <c r="M492" s="86"/>
      <c r="N492" s="86"/>
      <c r="O492" s="86"/>
      <c r="P492" s="86"/>
    </row>
    <row r="493" spans="1:16" ht="15">
      <c r="A493" s="72"/>
      <c r="B493" s="70" t="s">
        <v>18</v>
      </c>
      <c r="C493" s="70"/>
      <c r="D493" s="39"/>
      <c r="E493" s="9"/>
      <c r="F493" s="9"/>
      <c r="G493" s="9"/>
      <c r="H493" s="9"/>
      <c r="I493" s="9"/>
      <c r="J493" s="9"/>
      <c r="K493" s="9"/>
      <c r="L493" s="86"/>
      <c r="M493" s="86"/>
      <c r="N493" s="86"/>
      <c r="O493" s="86"/>
      <c r="P493" s="86"/>
    </row>
    <row r="494" spans="1:16" ht="15">
      <c r="A494" s="72">
        <v>6</v>
      </c>
      <c r="B494" s="73" t="s">
        <v>28</v>
      </c>
      <c r="C494" s="73"/>
      <c r="D494" s="40"/>
      <c r="E494" s="10"/>
      <c r="F494" s="10"/>
      <c r="G494" s="10"/>
      <c r="H494" s="10"/>
      <c r="I494" s="10"/>
      <c r="J494" s="10"/>
      <c r="K494" s="10"/>
      <c r="L494" s="86"/>
      <c r="M494" s="86"/>
      <c r="N494" s="86"/>
      <c r="O494" s="86"/>
      <c r="P494" s="86"/>
    </row>
    <row r="495" spans="1:16" ht="15" customHeight="1">
      <c r="A495" s="72"/>
      <c r="B495" s="74" t="s">
        <v>29</v>
      </c>
      <c r="C495" s="74"/>
      <c r="D495" s="67"/>
      <c r="E495" s="8"/>
      <c r="F495" s="8"/>
      <c r="G495" s="8"/>
      <c r="H495" s="8"/>
      <c r="I495" s="8"/>
      <c r="J495" s="8"/>
      <c r="K495" s="8"/>
      <c r="L495" s="86"/>
      <c r="M495" s="86"/>
      <c r="N495" s="86"/>
      <c r="O495" s="86"/>
      <c r="P495" s="86"/>
    </row>
    <row r="496" spans="1:16" ht="15" customHeight="1">
      <c r="A496" s="72"/>
      <c r="B496" s="74" t="s">
        <v>30</v>
      </c>
      <c r="C496" s="74"/>
      <c r="D496" s="67"/>
      <c r="E496" s="8"/>
      <c r="F496" s="8"/>
      <c r="G496" s="8"/>
      <c r="H496" s="8"/>
      <c r="I496" s="8"/>
      <c r="J496" s="8"/>
      <c r="K496" s="8"/>
      <c r="L496" s="86"/>
      <c r="M496" s="86"/>
      <c r="N496" s="86"/>
      <c r="O496" s="86"/>
      <c r="P496" s="86"/>
    </row>
    <row r="497" spans="1:16" ht="15" customHeight="1">
      <c r="A497" s="72"/>
      <c r="B497" s="74" t="s">
        <v>31</v>
      </c>
      <c r="C497" s="74"/>
      <c r="D497" s="67"/>
      <c r="E497" s="8"/>
      <c r="F497" s="8"/>
      <c r="G497" s="8"/>
      <c r="H497" s="8"/>
      <c r="I497" s="8"/>
      <c r="J497" s="8"/>
      <c r="K497" s="8"/>
      <c r="L497" s="86"/>
      <c r="M497" s="86"/>
      <c r="N497" s="86"/>
      <c r="O497" s="86"/>
      <c r="P497" s="86"/>
    </row>
    <row r="498" spans="1:16" ht="15" customHeight="1">
      <c r="A498" s="72"/>
      <c r="B498" s="74" t="s">
        <v>32</v>
      </c>
      <c r="C498" s="74"/>
      <c r="D498" s="67"/>
      <c r="E498" s="8"/>
      <c r="F498" s="8"/>
      <c r="G498" s="8"/>
      <c r="H498" s="8"/>
      <c r="I498" s="8"/>
      <c r="J498" s="8"/>
      <c r="K498" s="8"/>
      <c r="L498" s="86"/>
      <c r="M498" s="86"/>
      <c r="N498" s="86"/>
      <c r="O498" s="86"/>
      <c r="P498" s="86"/>
    </row>
    <row r="499" spans="1:16" ht="15" customHeight="1">
      <c r="A499" s="72"/>
      <c r="B499" s="74" t="s">
        <v>33</v>
      </c>
      <c r="C499" s="74"/>
      <c r="D499" s="67"/>
      <c r="E499" s="8"/>
      <c r="F499" s="8"/>
      <c r="G499" s="8"/>
      <c r="H499" s="8"/>
      <c r="I499" s="8"/>
      <c r="J499" s="8"/>
      <c r="K499" s="8"/>
      <c r="L499" s="86"/>
      <c r="M499" s="86"/>
      <c r="N499" s="86"/>
      <c r="O499" s="86"/>
      <c r="P499" s="86"/>
    </row>
    <row r="500" spans="1:16" ht="15">
      <c r="A500" s="72"/>
      <c r="B500" s="70" t="s">
        <v>18</v>
      </c>
      <c r="C500" s="70"/>
      <c r="D500" s="39"/>
      <c r="E500" s="9"/>
      <c r="F500" s="9"/>
      <c r="G500" s="9"/>
      <c r="H500" s="9"/>
      <c r="I500" s="9"/>
      <c r="J500" s="9"/>
      <c r="K500" s="9"/>
      <c r="L500" s="86"/>
      <c r="M500" s="86"/>
      <c r="N500" s="86"/>
      <c r="O500" s="86"/>
      <c r="P500" s="86"/>
    </row>
    <row r="501" spans="1:16" ht="15">
      <c r="A501" s="72">
        <v>7</v>
      </c>
      <c r="B501" s="73" t="s">
        <v>34</v>
      </c>
      <c r="C501" s="73"/>
      <c r="D501" s="40"/>
      <c r="E501" s="10"/>
      <c r="F501" s="10"/>
      <c r="G501" s="10"/>
      <c r="H501" s="10"/>
      <c r="I501" s="10"/>
      <c r="J501" s="10"/>
      <c r="K501" s="10"/>
      <c r="L501" s="86"/>
      <c r="M501" s="86"/>
      <c r="N501" s="86"/>
      <c r="O501" s="86"/>
      <c r="P501" s="86"/>
    </row>
    <row r="502" spans="1:16" ht="15" customHeight="1">
      <c r="A502" s="72"/>
      <c r="B502" s="74" t="s">
        <v>35</v>
      </c>
      <c r="C502" s="74"/>
      <c r="D502" s="67"/>
      <c r="E502" s="8"/>
      <c r="F502" s="8"/>
      <c r="G502" s="8"/>
      <c r="H502" s="8"/>
      <c r="I502" s="8"/>
      <c r="J502" s="8"/>
      <c r="K502" s="8"/>
      <c r="L502" s="86"/>
      <c r="M502" s="86"/>
      <c r="N502" s="86"/>
      <c r="O502" s="86"/>
      <c r="P502" s="86"/>
    </row>
    <row r="503" spans="1:16" ht="15" customHeight="1">
      <c r="A503" s="72"/>
      <c r="B503" s="74" t="s">
        <v>36</v>
      </c>
      <c r="C503" s="74"/>
      <c r="D503" s="67"/>
      <c r="E503" s="8"/>
      <c r="F503" s="8"/>
      <c r="G503" s="8"/>
      <c r="H503" s="8"/>
      <c r="I503" s="8"/>
      <c r="J503" s="8"/>
      <c r="K503" s="8"/>
      <c r="L503" s="86"/>
      <c r="M503" s="86"/>
      <c r="N503" s="86"/>
      <c r="O503" s="86"/>
      <c r="P503" s="86"/>
    </row>
    <row r="504" spans="1:16" ht="15" customHeight="1">
      <c r="A504" s="72"/>
      <c r="B504" s="74" t="s">
        <v>37</v>
      </c>
      <c r="C504" s="74"/>
      <c r="D504" s="67"/>
      <c r="E504" s="8"/>
      <c r="F504" s="8"/>
      <c r="G504" s="8"/>
      <c r="H504" s="8"/>
      <c r="I504" s="8"/>
      <c r="J504" s="8"/>
      <c r="K504" s="8"/>
      <c r="L504" s="86"/>
      <c r="M504" s="86"/>
      <c r="N504" s="86"/>
      <c r="O504" s="86"/>
      <c r="P504" s="86"/>
    </row>
    <row r="505" spans="1:16" ht="15" customHeight="1">
      <c r="A505" s="72"/>
      <c r="B505" s="74" t="s">
        <v>38</v>
      </c>
      <c r="C505" s="74"/>
      <c r="D505" s="67"/>
      <c r="E505" s="8"/>
      <c r="F505" s="8"/>
      <c r="G505" s="8"/>
      <c r="H505" s="8"/>
      <c r="I505" s="8"/>
      <c r="J505" s="8"/>
      <c r="K505" s="8"/>
      <c r="L505" s="86"/>
      <c r="M505" s="86"/>
      <c r="N505" s="86"/>
      <c r="O505" s="86"/>
      <c r="P505" s="86"/>
    </row>
    <row r="506" spans="1:16" ht="15" customHeight="1">
      <c r="A506" s="72"/>
      <c r="B506" s="74" t="s">
        <v>39</v>
      </c>
      <c r="C506" s="74"/>
      <c r="D506" s="67"/>
      <c r="E506" s="8"/>
      <c r="F506" s="8"/>
      <c r="G506" s="8"/>
      <c r="H506" s="8"/>
      <c r="I506" s="8"/>
      <c r="J506" s="8"/>
      <c r="K506" s="8"/>
      <c r="L506" s="86"/>
      <c r="M506" s="86"/>
      <c r="N506" s="86"/>
      <c r="O506" s="86"/>
      <c r="P506" s="86"/>
    </row>
    <row r="507" spans="1:16" ht="15" customHeight="1">
      <c r="A507" s="72"/>
      <c r="B507" s="74" t="s">
        <v>40</v>
      </c>
      <c r="C507" s="74"/>
      <c r="D507" s="67"/>
      <c r="E507" s="8"/>
      <c r="F507" s="8"/>
      <c r="G507" s="8"/>
      <c r="H507" s="8"/>
      <c r="I507" s="8"/>
      <c r="J507" s="8"/>
      <c r="K507" s="8"/>
      <c r="L507" s="86"/>
      <c r="M507" s="86"/>
      <c r="N507" s="86"/>
      <c r="O507" s="86"/>
      <c r="P507" s="86"/>
    </row>
    <row r="508" spans="1:16" ht="15" customHeight="1">
      <c r="A508" s="72"/>
      <c r="B508" s="74" t="s">
        <v>41</v>
      </c>
      <c r="C508" s="74"/>
      <c r="D508" s="67"/>
      <c r="E508" s="8"/>
      <c r="F508" s="8"/>
      <c r="G508" s="8"/>
      <c r="H508" s="8"/>
      <c r="I508" s="8"/>
      <c r="J508" s="8"/>
      <c r="K508" s="8"/>
      <c r="L508" s="86"/>
      <c r="M508" s="86"/>
      <c r="N508" s="86"/>
      <c r="O508" s="86"/>
      <c r="P508" s="86"/>
    </row>
    <row r="509" spans="1:16" ht="15" customHeight="1">
      <c r="A509" s="72"/>
      <c r="B509" s="74" t="s">
        <v>42</v>
      </c>
      <c r="C509" s="74"/>
      <c r="D509" s="67"/>
      <c r="E509" s="8"/>
      <c r="F509" s="8"/>
      <c r="G509" s="8"/>
      <c r="H509" s="8"/>
      <c r="I509" s="8"/>
      <c r="J509" s="8"/>
      <c r="K509" s="8"/>
      <c r="L509" s="86"/>
      <c r="M509" s="86"/>
      <c r="N509" s="86"/>
      <c r="O509" s="86"/>
      <c r="P509" s="86"/>
    </row>
    <row r="510" spans="1:16" ht="15" customHeight="1">
      <c r="A510" s="72"/>
      <c r="B510" s="68" t="s">
        <v>43</v>
      </c>
      <c r="C510" s="69"/>
      <c r="D510" s="67"/>
      <c r="E510" s="8"/>
      <c r="F510" s="8"/>
      <c r="G510" s="8"/>
      <c r="H510" s="8"/>
      <c r="I510" s="8"/>
      <c r="J510" s="8"/>
      <c r="K510" s="8"/>
      <c r="L510" s="86"/>
      <c r="M510" s="86"/>
      <c r="N510" s="86"/>
      <c r="O510" s="86"/>
      <c r="P510" s="86"/>
    </row>
    <row r="511" spans="1:16" ht="15">
      <c r="A511" s="72"/>
      <c r="B511" s="70" t="s">
        <v>18</v>
      </c>
      <c r="C511" s="70"/>
      <c r="D511" s="39"/>
      <c r="E511" s="9"/>
      <c r="F511" s="9"/>
      <c r="G511" s="9"/>
      <c r="H511" s="9"/>
      <c r="I511" s="9"/>
      <c r="J511" s="9"/>
      <c r="K511" s="9"/>
      <c r="L511" s="86"/>
      <c r="M511" s="86"/>
      <c r="N511" s="86"/>
      <c r="O511" s="86"/>
      <c r="P511" s="86"/>
    </row>
    <row r="512" spans="1:16">
      <c r="B512"/>
    </row>
    <row r="513" spans="2:16" ht="15">
      <c r="B513" s="71" t="s">
        <v>44</v>
      </c>
      <c r="C513" s="71"/>
      <c r="D513" s="1">
        <f>SUM(D479:D510)</f>
        <v>0</v>
      </c>
      <c r="E513" s="1">
        <f t="shared" ref="E513:K513" si="33">SUM(E479:E510)</f>
        <v>0</v>
      </c>
      <c r="F513" s="1">
        <f t="shared" si="33"/>
        <v>0</v>
      </c>
      <c r="G513" s="1">
        <f t="shared" si="33"/>
        <v>0</v>
      </c>
      <c r="H513" s="1">
        <f t="shared" si="33"/>
        <v>0</v>
      </c>
      <c r="I513" s="1">
        <f t="shared" si="33"/>
        <v>0</v>
      </c>
      <c r="J513" s="1">
        <f t="shared" si="33"/>
        <v>0</v>
      </c>
      <c r="K513" s="1">
        <f t="shared" si="33"/>
        <v>0</v>
      </c>
      <c r="M513" s="17" t="s">
        <v>2</v>
      </c>
      <c r="N513" s="17" t="s">
        <v>3</v>
      </c>
    </row>
    <row r="514" spans="2:16" ht="15">
      <c r="B514"/>
      <c r="C514" s="64"/>
      <c r="D514" s="1">
        <f>COUNT(D479:D511)*5</f>
        <v>0</v>
      </c>
      <c r="E514" s="1">
        <f t="shared" ref="E514:K514" si="34">COUNT(E479:E511)*5</f>
        <v>0</v>
      </c>
      <c r="F514" s="1">
        <f t="shared" si="34"/>
        <v>0</v>
      </c>
      <c r="G514" s="1">
        <f t="shared" si="34"/>
        <v>0</v>
      </c>
      <c r="H514" s="1">
        <f t="shared" si="34"/>
        <v>0</v>
      </c>
      <c r="I514" s="1">
        <f t="shared" si="34"/>
        <v>0</v>
      </c>
      <c r="J514" s="1">
        <f t="shared" si="34"/>
        <v>0</v>
      </c>
      <c r="K514" s="1">
        <f t="shared" si="34"/>
        <v>0</v>
      </c>
      <c r="M514" s="18" t="e">
        <f>(D515+F515+H515+J515)/4</f>
        <v>#DIV/0!</v>
      </c>
      <c r="N514" s="18" t="e">
        <f>(E515+G515+I515+K515)/4</f>
        <v>#DIV/0!</v>
      </c>
    </row>
    <row r="515" spans="2:16" ht="15">
      <c r="B515"/>
      <c r="C515" s="2" t="s">
        <v>45</v>
      </c>
      <c r="D515" s="11" t="e">
        <f>D513/D514</f>
        <v>#DIV/0!</v>
      </c>
      <c r="E515" s="11" t="e">
        <f t="shared" ref="E515:K515" si="35">E513/E514</f>
        <v>#DIV/0!</v>
      </c>
      <c r="F515" s="11" t="e">
        <f t="shared" si="35"/>
        <v>#DIV/0!</v>
      </c>
      <c r="G515" s="11" t="e">
        <f t="shared" si="35"/>
        <v>#DIV/0!</v>
      </c>
      <c r="H515" s="11" t="e">
        <f t="shared" si="35"/>
        <v>#DIV/0!</v>
      </c>
      <c r="I515" s="11" t="e">
        <f t="shared" si="35"/>
        <v>#DIV/0!</v>
      </c>
      <c r="J515" s="11" t="e">
        <f t="shared" si="35"/>
        <v>#DIV/0!</v>
      </c>
      <c r="K515" s="11" t="e">
        <f t="shared" si="35"/>
        <v>#DIV/0!</v>
      </c>
      <c r="L515" s="4"/>
      <c r="M515" s="4"/>
      <c r="N515" s="4"/>
      <c r="O515" s="4"/>
      <c r="P515" s="4"/>
    </row>
  </sheetData>
  <mergeCells count="588">
    <mergeCell ref="B510:C510"/>
    <mergeCell ref="B511:C511"/>
    <mergeCell ref="B513:C513"/>
    <mergeCell ref="A501:A511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A494:A500"/>
    <mergeCell ref="B494:C494"/>
    <mergeCell ref="B495:C495"/>
    <mergeCell ref="B496:C496"/>
    <mergeCell ref="B497:C497"/>
    <mergeCell ref="B498:C498"/>
    <mergeCell ref="B499:C499"/>
    <mergeCell ref="B500:C500"/>
    <mergeCell ref="A488:A491"/>
    <mergeCell ref="B488:C488"/>
    <mergeCell ref="B489:C489"/>
    <mergeCell ref="B490:C490"/>
    <mergeCell ref="B491:C491"/>
    <mergeCell ref="A492:A493"/>
    <mergeCell ref="B492:C492"/>
    <mergeCell ref="B493:C493"/>
    <mergeCell ref="A483:A487"/>
    <mergeCell ref="B483:C483"/>
    <mergeCell ref="B484:C484"/>
    <mergeCell ref="B485:C485"/>
    <mergeCell ref="B486:C486"/>
    <mergeCell ref="B487:C487"/>
    <mergeCell ref="J475:K475"/>
    <mergeCell ref="A476:A478"/>
    <mergeCell ref="B476:B478"/>
    <mergeCell ref="L476:P478"/>
    <mergeCell ref="A479:A480"/>
    <mergeCell ref="B479:C479"/>
    <mergeCell ref="L479:P511"/>
    <mergeCell ref="B480:C480"/>
    <mergeCell ref="A481:A482"/>
    <mergeCell ref="B481:C481"/>
    <mergeCell ref="B468:C468"/>
    <mergeCell ref="B469:C469"/>
    <mergeCell ref="B471:C471"/>
    <mergeCell ref="D475:E475"/>
    <mergeCell ref="F475:G475"/>
    <mergeCell ref="H475:I475"/>
    <mergeCell ref="A459:A469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82:C482"/>
    <mergeCell ref="A452:A458"/>
    <mergeCell ref="B452:C452"/>
    <mergeCell ref="B453:C453"/>
    <mergeCell ref="B454:C454"/>
    <mergeCell ref="B455:C455"/>
    <mergeCell ref="B456:C456"/>
    <mergeCell ref="B457:C457"/>
    <mergeCell ref="B458:C458"/>
    <mergeCell ref="A446:A449"/>
    <mergeCell ref="B446:C446"/>
    <mergeCell ref="B447:C447"/>
    <mergeCell ref="B448:C448"/>
    <mergeCell ref="B449:C449"/>
    <mergeCell ref="A450:A451"/>
    <mergeCell ref="B450:C450"/>
    <mergeCell ref="B451:C451"/>
    <mergeCell ref="A441:A445"/>
    <mergeCell ref="B441:C441"/>
    <mergeCell ref="B442:C442"/>
    <mergeCell ref="B443:C443"/>
    <mergeCell ref="B444:C444"/>
    <mergeCell ref="B445:C445"/>
    <mergeCell ref="J433:K433"/>
    <mergeCell ref="A434:A436"/>
    <mergeCell ref="B434:B436"/>
    <mergeCell ref="L434:P436"/>
    <mergeCell ref="A437:A438"/>
    <mergeCell ref="B437:C437"/>
    <mergeCell ref="L437:P469"/>
    <mergeCell ref="B438:C438"/>
    <mergeCell ref="A439:A440"/>
    <mergeCell ref="B439:C439"/>
    <mergeCell ref="B426:C426"/>
    <mergeCell ref="B427:C427"/>
    <mergeCell ref="B429:C429"/>
    <mergeCell ref="D433:E433"/>
    <mergeCell ref="F433:G433"/>
    <mergeCell ref="H433:I433"/>
    <mergeCell ref="A417:A427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40:C440"/>
    <mergeCell ref="A410:A416"/>
    <mergeCell ref="B410:C410"/>
    <mergeCell ref="B411:C411"/>
    <mergeCell ref="B412:C412"/>
    <mergeCell ref="B413:C413"/>
    <mergeCell ref="B414:C414"/>
    <mergeCell ref="B415:C415"/>
    <mergeCell ref="B416:C416"/>
    <mergeCell ref="A404:A407"/>
    <mergeCell ref="B404:C404"/>
    <mergeCell ref="B405:C405"/>
    <mergeCell ref="B406:C406"/>
    <mergeCell ref="B407:C407"/>
    <mergeCell ref="A408:A409"/>
    <mergeCell ref="B408:C408"/>
    <mergeCell ref="B409:C409"/>
    <mergeCell ref="A399:A403"/>
    <mergeCell ref="B399:C399"/>
    <mergeCell ref="B400:C400"/>
    <mergeCell ref="B401:C401"/>
    <mergeCell ref="B402:C402"/>
    <mergeCell ref="B403:C403"/>
    <mergeCell ref="J391:K391"/>
    <mergeCell ref="A392:A394"/>
    <mergeCell ref="B392:B394"/>
    <mergeCell ref="L392:P394"/>
    <mergeCell ref="A395:A396"/>
    <mergeCell ref="B395:C395"/>
    <mergeCell ref="L395:P427"/>
    <mergeCell ref="B396:C396"/>
    <mergeCell ref="A397:A398"/>
    <mergeCell ref="B397:C397"/>
    <mergeCell ref="B384:C384"/>
    <mergeCell ref="B385:C385"/>
    <mergeCell ref="B387:C387"/>
    <mergeCell ref="D391:E391"/>
    <mergeCell ref="F391:G391"/>
    <mergeCell ref="H391:I391"/>
    <mergeCell ref="A375:A385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98:C398"/>
    <mergeCell ref="A368:A374"/>
    <mergeCell ref="B368:C368"/>
    <mergeCell ref="B369:C369"/>
    <mergeCell ref="B370:C370"/>
    <mergeCell ref="B371:C371"/>
    <mergeCell ref="B372:C372"/>
    <mergeCell ref="B373:C373"/>
    <mergeCell ref="B374:C374"/>
    <mergeCell ref="A362:A365"/>
    <mergeCell ref="B362:C362"/>
    <mergeCell ref="B363:C363"/>
    <mergeCell ref="B364:C364"/>
    <mergeCell ref="B365:C365"/>
    <mergeCell ref="A366:A367"/>
    <mergeCell ref="B366:C366"/>
    <mergeCell ref="B367:C367"/>
    <mergeCell ref="A357:A361"/>
    <mergeCell ref="B357:C357"/>
    <mergeCell ref="B358:C358"/>
    <mergeCell ref="B359:C359"/>
    <mergeCell ref="B360:C360"/>
    <mergeCell ref="B361:C361"/>
    <mergeCell ref="J349:K349"/>
    <mergeCell ref="A350:A352"/>
    <mergeCell ref="B350:B352"/>
    <mergeCell ref="L350:P352"/>
    <mergeCell ref="A353:A354"/>
    <mergeCell ref="B353:C353"/>
    <mergeCell ref="L353:P385"/>
    <mergeCell ref="B354:C354"/>
    <mergeCell ref="A355:A356"/>
    <mergeCell ref="B355:C355"/>
    <mergeCell ref="B342:C342"/>
    <mergeCell ref="B343:C343"/>
    <mergeCell ref="B345:C345"/>
    <mergeCell ref="D349:E349"/>
    <mergeCell ref="F349:G349"/>
    <mergeCell ref="H349:I349"/>
    <mergeCell ref="A333:A343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56:C356"/>
    <mergeCell ref="A326:A332"/>
    <mergeCell ref="B326:C326"/>
    <mergeCell ref="B327:C327"/>
    <mergeCell ref="B328:C328"/>
    <mergeCell ref="B329:C329"/>
    <mergeCell ref="B330:C330"/>
    <mergeCell ref="B331:C331"/>
    <mergeCell ref="B332:C332"/>
    <mergeCell ref="A320:A323"/>
    <mergeCell ref="B320:C320"/>
    <mergeCell ref="B321:C321"/>
    <mergeCell ref="B322:C322"/>
    <mergeCell ref="B323:C323"/>
    <mergeCell ref="A324:A325"/>
    <mergeCell ref="B324:C324"/>
    <mergeCell ref="B325:C325"/>
    <mergeCell ref="A315:A319"/>
    <mergeCell ref="B315:C315"/>
    <mergeCell ref="B316:C316"/>
    <mergeCell ref="B317:C317"/>
    <mergeCell ref="B318:C318"/>
    <mergeCell ref="B319:C319"/>
    <mergeCell ref="J307:K307"/>
    <mergeCell ref="A308:A310"/>
    <mergeCell ref="B308:B310"/>
    <mergeCell ref="L308:P310"/>
    <mergeCell ref="A311:A312"/>
    <mergeCell ref="B311:C311"/>
    <mergeCell ref="L311:P343"/>
    <mergeCell ref="B312:C312"/>
    <mergeCell ref="A313:A314"/>
    <mergeCell ref="B313:C313"/>
    <mergeCell ref="B300:C300"/>
    <mergeCell ref="B301:C301"/>
    <mergeCell ref="B303:C303"/>
    <mergeCell ref="D307:E307"/>
    <mergeCell ref="F307:G307"/>
    <mergeCell ref="H307:I307"/>
    <mergeCell ref="A291:A301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14:C314"/>
    <mergeCell ref="A284:A290"/>
    <mergeCell ref="B284:C284"/>
    <mergeCell ref="B285:C285"/>
    <mergeCell ref="B286:C286"/>
    <mergeCell ref="B287:C287"/>
    <mergeCell ref="B288:C288"/>
    <mergeCell ref="B289:C289"/>
    <mergeCell ref="B290:C290"/>
    <mergeCell ref="A278:A281"/>
    <mergeCell ref="B278:C278"/>
    <mergeCell ref="B279:C279"/>
    <mergeCell ref="B280:C280"/>
    <mergeCell ref="B281:C281"/>
    <mergeCell ref="A282:A283"/>
    <mergeCell ref="B282:C282"/>
    <mergeCell ref="B283:C283"/>
    <mergeCell ref="A273:A277"/>
    <mergeCell ref="B273:C273"/>
    <mergeCell ref="B274:C274"/>
    <mergeCell ref="B275:C275"/>
    <mergeCell ref="B276:C276"/>
    <mergeCell ref="B277:C277"/>
    <mergeCell ref="J265:K265"/>
    <mergeCell ref="A266:A268"/>
    <mergeCell ref="B266:B268"/>
    <mergeCell ref="L266:P268"/>
    <mergeCell ref="A269:A270"/>
    <mergeCell ref="B269:C269"/>
    <mergeCell ref="L269:P301"/>
    <mergeCell ref="B270:C270"/>
    <mergeCell ref="A271:A272"/>
    <mergeCell ref="B271:C271"/>
    <mergeCell ref="B258:C258"/>
    <mergeCell ref="B259:C259"/>
    <mergeCell ref="B261:C261"/>
    <mergeCell ref="D265:E265"/>
    <mergeCell ref="F265:G265"/>
    <mergeCell ref="H265:I265"/>
    <mergeCell ref="A249:A259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72:C272"/>
    <mergeCell ref="A242:A248"/>
    <mergeCell ref="B242:C242"/>
    <mergeCell ref="B243:C243"/>
    <mergeCell ref="B244:C244"/>
    <mergeCell ref="B245:C245"/>
    <mergeCell ref="B246:C246"/>
    <mergeCell ref="B247:C247"/>
    <mergeCell ref="B248:C248"/>
    <mergeCell ref="A236:A239"/>
    <mergeCell ref="B236:C236"/>
    <mergeCell ref="B237:C237"/>
    <mergeCell ref="B238:C238"/>
    <mergeCell ref="B239:C239"/>
    <mergeCell ref="A240:A241"/>
    <mergeCell ref="B240:C240"/>
    <mergeCell ref="B241:C241"/>
    <mergeCell ref="A231:A235"/>
    <mergeCell ref="B231:C231"/>
    <mergeCell ref="B232:C232"/>
    <mergeCell ref="B233:C233"/>
    <mergeCell ref="B234:C234"/>
    <mergeCell ref="B235:C235"/>
    <mergeCell ref="J223:K223"/>
    <mergeCell ref="A224:A226"/>
    <mergeCell ref="B224:B226"/>
    <mergeCell ref="L224:P226"/>
    <mergeCell ref="A227:A228"/>
    <mergeCell ref="B227:C227"/>
    <mergeCell ref="L227:P259"/>
    <mergeCell ref="B228:C228"/>
    <mergeCell ref="A229:A230"/>
    <mergeCell ref="B229:C229"/>
    <mergeCell ref="B216:C216"/>
    <mergeCell ref="B217:C217"/>
    <mergeCell ref="B219:C219"/>
    <mergeCell ref="D223:E223"/>
    <mergeCell ref="F223:G223"/>
    <mergeCell ref="H223:I223"/>
    <mergeCell ref="A207:A217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30:C230"/>
    <mergeCell ref="A200:A206"/>
    <mergeCell ref="B200:C200"/>
    <mergeCell ref="B201:C201"/>
    <mergeCell ref="B202:C202"/>
    <mergeCell ref="B203:C203"/>
    <mergeCell ref="B204:C204"/>
    <mergeCell ref="B205:C205"/>
    <mergeCell ref="B206:C206"/>
    <mergeCell ref="A194:A197"/>
    <mergeCell ref="B194:C194"/>
    <mergeCell ref="B195:C195"/>
    <mergeCell ref="B196:C196"/>
    <mergeCell ref="B197:C197"/>
    <mergeCell ref="A198:A199"/>
    <mergeCell ref="B198:C198"/>
    <mergeCell ref="B199:C199"/>
    <mergeCell ref="A189:A193"/>
    <mergeCell ref="B189:C189"/>
    <mergeCell ref="B190:C190"/>
    <mergeCell ref="B191:C191"/>
    <mergeCell ref="B192:C192"/>
    <mergeCell ref="B193:C193"/>
    <mergeCell ref="J181:K181"/>
    <mergeCell ref="A182:A184"/>
    <mergeCell ref="B182:B184"/>
    <mergeCell ref="L182:P184"/>
    <mergeCell ref="A185:A186"/>
    <mergeCell ref="B185:C185"/>
    <mergeCell ref="L185:P217"/>
    <mergeCell ref="B186:C186"/>
    <mergeCell ref="A187:A188"/>
    <mergeCell ref="B187:C187"/>
    <mergeCell ref="B174:C174"/>
    <mergeCell ref="B175:C175"/>
    <mergeCell ref="B177:C177"/>
    <mergeCell ref="D181:E181"/>
    <mergeCell ref="F181:G181"/>
    <mergeCell ref="H181:I181"/>
    <mergeCell ref="A165:A175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88:C188"/>
    <mergeCell ref="A158:A164"/>
    <mergeCell ref="B158:C158"/>
    <mergeCell ref="B159:C159"/>
    <mergeCell ref="B160:C160"/>
    <mergeCell ref="B161:C161"/>
    <mergeCell ref="B162:C162"/>
    <mergeCell ref="B163:C163"/>
    <mergeCell ref="B164:C164"/>
    <mergeCell ref="A152:A155"/>
    <mergeCell ref="B152:C152"/>
    <mergeCell ref="B153:C153"/>
    <mergeCell ref="B154:C154"/>
    <mergeCell ref="B155:C155"/>
    <mergeCell ref="A156:A157"/>
    <mergeCell ref="B156:C156"/>
    <mergeCell ref="B157:C157"/>
    <mergeCell ref="A147:A151"/>
    <mergeCell ref="B147:C147"/>
    <mergeCell ref="B148:C148"/>
    <mergeCell ref="B149:C149"/>
    <mergeCell ref="B150:C150"/>
    <mergeCell ref="B151:C151"/>
    <mergeCell ref="J139:K139"/>
    <mergeCell ref="A140:A142"/>
    <mergeCell ref="B140:B142"/>
    <mergeCell ref="L140:P142"/>
    <mergeCell ref="A143:A144"/>
    <mergeCell ref="B143:C143"/>
    <mergeCell ref="L143:P175"/>
    <mergeCell ref="B144:C144"/>
    <mergeCell ref="A145:A146"/>
    <mergeCell ref="B145:C145"/>
    <mergeCell ref="B132:C132"/>
    <mergeCell ref="B133:C133"/>
    <mergeCell ref="B135:C135"/>
    <mergeCell ref="D139:E139"/>
    <mergeCell ref="F139:G139"/>
    <mergeCell ref="H139:I139"/>
    <mergeCell ref="A123:A133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46:C146"/>
    <mergeCell ref="A116:A122"/>
    <mergeCell ref="B116:C116"/>
    <mergeCell ref="B117:C117"/>
    <mergeCell ref="B118:C118"/>
    <mergeCell ref="B119:C119"/>
    <mergeCell ref="B120:C120"/>
    <mergeCell ref="B121:C121"/>
    <mergeCell ref="B122:C122"/>
    <mergeCell ref="A110:A113"/>
    <mergeCell ref="B110:C110"/>
    <mergeCell ref="B111:C111"/>
    <mergeCell ref="B112:C112"/>
    <mergeCell ref="B113:C113"/>
    <mergeCell ref="A114:A115"/>
    <mergeCell ref="B114:C114"/>
    <mergeCell ref="B115:C115"/>
    <mergeCell ref="A105:A109"/>
    <mergeCell ref="B105:C105"/>
    <mergeCell ref="B106:C106"/>
    <mergeCell ref="B107:C107"/>
    <mergeCell ref="B108:C108"/>
    <mergeCell ref="B109:C109"/>
    <mergeCell ref="J97:K97"/>
    <mergeCell ref="A98:A100"/>
    <mergeCell ref="B98:B100"/>
    <mergeCell ref="L98:P100"/>
    <mergeCell ref="A101:A102"/>
    <mergeCell ref="B101:C101"/>
    <mergeCell ref="L101:P133"/>
    <mergeCell ref="B102:C102"/>
    <mergeCell ref="A103:A104"/>
    <mergeCell ref="B103:C103"/>
    <mergeCell ref="B90:C90"/>
    <mergeCell ref="B91:C91"/>
    <mergeCell ref="B93:C93"/>
    <mergeCell ref="D97:E97"/>
    <mergeCell ref="F97:G97"/>
    <mergeCell ref="H97:I97"/>
    <mergeCell ref="A81:A91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104:C104"/>
    <mergeCell ref="B79:C79"/>
    <mergeCell ref="B80:C80"/>
    <mergeCell ref="A68:A71"/>
    <mergeCell ref="B68:C68"/>
    <mergeCell ref="B69:C69"/>
    <mergeCell ref="B70:C70"/>
    <mergeCell ref="B71:C71"/>
    <mergeCell ref="A72:A73"/>
    <mergeCell ref="B72:C72"/>
    <mergeCell ref="B73:C73"/>
    <mergeCell ref="J55:K55"/>
    <mergeCell ref="A56:A58"/>
    <mergeCell ref="B56:B58"/>
    <mergeCell ref="L56:P58"/>
    <mergeCell ref="A59:A60"/>
    <mergeCell ref="B59:C59"/>
    <mergeCell ref="L59:P91"/>
    <mergeCell ref="B60:C60"/>
    <mergeCell ref="A61:A62"/>
    <mergeCell ref="B61:C61"/>
    <mergeCell ref="B62:C62"/>
    <mergeCell ref="A63:A67"/>
    <mergeCell ref="B63:C63"/>
    <mergeCell ref="B64:C64"/>
    <mergeCell ref="B65:C65"/>
    <mergeCell ref="B66:C66"/>
    <mergeCell ref="B67:C67"/>
    <mergeCell ref="H55:I55"/>
    <mergeCell ref="A74:A80"/>
    <mergeCell ref="B74:C74"/>
    <mergeCell ref="B75:C75"/>
    <mergeCell ref="B76:C76"/>
    <mergeCell ref="B77:C77"/>
    <mergeCell ref="B78:C78"/>
    <mergeCell ref="B47:C47"/>
    <mergeCell ref="B48:C48"/>
    <mergeCell ref="B49:C49"/>
    <mergeCell ref="B51:C51"/>
    <mergeCell ref="D55:E55"/>
    <mergeCell ref="F55:G55"/>
    <mergeCell ref="B38:C38"/>
    <mergeCell ref="A39:A49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A30:A31"/>
    <mergeCell ref="B30:C30"/>
    <mergeCell ref="B31:C31"/>
    <mergeCell ref="A32:A38"/>
    <mergeCell ref="B32:C32"/>
    <mergeCell ref="B33:C33"/>
    <mergeCell ref="B34:C34"/>
    <mergeCell ref="B35:C35"/>
    <mergeCell ref="B36:C36"/>
    <mergeCell ref="B37:C37"/>
    <mergeCell ref="D13:E13"/>
    <mergeCell ref="F13:G13"/>
    <mergeCell ref="H13:I13"/>
    <mergeCell ref="J13:K13"/>
    <mergeCell ref="A14:A16"/>
    <mergeCell ref="B14:B16"/>
    <mergeCell ref="L14:P16"/>
    <mergeCell ref="A17:A18"/>
    <mergeCell ref="B17:C17"/>
    <mergeCell ref="L17:P49"/>
    <mergeCell ref="B18:C18"/>
    <mergeCell ref="A19:A20"/>
    <mergeCell ref="B19:C19"/>
    <mergeCell ref="B20:C20"/>
    <mergeCell ref="A21:A25"/>
    <mergeCell ref="B21:C21"/>
    <mergeCell ref="B22:C22"/>
    <mergeCell ref="B23:C23"/>
    <mergeCell ref="B24:C24"/>
    <mergeCell ref="B25:C25"/>
    <mergeCell ref="A26:A29"/>
    <mergeCell ref="B26:C26"/>
    <mergeCell ref="B27:C27"/>
    <mergeCell ref="B28:C28"/>
  </mergeCells>
  <hyperlinks>
    <hyperlink ref="B2" location="'ALL STAFF'!A1" display="&lt;BACK" xr:uid="{8AF63C3E-50F1-44BD-ABD0-9B4D3F404F89}"/>
    <hyperlink ref="C13" location="'ALL STAFF'!A1" display="&lt;BACK" xr:uid="{87F75D3F-B103-494B-AEE5-9AB52A157348}"/>
    <hyperlink ref="C55" location="'ALL STAFF'!A1" display="&lt;BACK" xr:uid="{A127283B-7D38-4553-A594-339903DF6893}"/>
    <hyperlink ref="C97" location="'ALL STAFF'!A1" display="&lt;BACK" xr:uid="{C331A1DE-A16F-4DB5-8E42-2AEC209F8C27}"/>
    <hyperlink ref="C139" location="'ALL STAFF'!A1" display="&lt;BACK" xr:uid="{3F34C0B3-91CC-43C0-9CE6-64A3B2995CBC}"/>
    <hyperlink ref="C181" location="'ALL STAFF'!A1" display="&lt;BACK" xr:uid="{855DEA87-35B5-4ED6-91DD-0AA5621E92AE}"/>
    <hyperlink ref="C223" location="'ALL STAFF'!A1" display="&lt;BACK" xr:uid="{4DE3F5D9-8BD7-448B-B366-8BE7F8375AD2}"/>
    <hyperlink ref="C265" location="'ALL STAFF'!A1" display="&lt;BACK" xr:uid="{79C840DC-05AE-4E43-9FFF-E56FA1F2DB0D}"/>
    <hyperlink ref="C307" location="'ALL STAFF'!A1" display="&lt;BACK" xr:uid="{82D9B5BA-96F1-40F5-8562-8AF2F39E9A19}"/>
    <hyperlink ref="C349" location="'ALL STAFF'!A1" display="&lt;BACK" xr:uid="{BD6F9F1A-576F-4752-A496-B5827CC068AE}"/>
    <hyperlink ref="C391" location="'ALL STAFF'!A1" display="&lt;BACK" xr:uid="{E5703E25-7AC8-4A48-8341-FF8D106F3031}"/>
    <hyperlink ref="C433" location="'ALL STAFF'!A1" display="&lt;BACK" xr:uid="{397AC743-78AD-4C76-B573-5E7CAA55229E}"/>
    <hyperlink ref="C475" location="'ALL STAFF'!A1" display="&lt;BACK" xr:uid="{3C448D73-3F17-4D01-AFEC-D7E92C8A55CC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280C5-447D-47E3-9DE3-D30951641630}">
          <x14:formula1>
            <xm:f>'CHECKLIST STAFF'!$A$2:$A$8</xm:f>
          </x14:formula1>
          <xm:sqref>D17:K17 D19:K19 D22:K24 D27:K28 D30:K30 D33:K37 D40:K48 D59:K59 D61:K61 D64:K66 D69:K70 D72:K72 D75:K79 D82:K90 D101:K101 D103:K103 D106:K108 D111:K112 D114:K114 D117:K121 D124:K132 D143:K143 D145:K145 D148:K150 D153:K154 D156:K156 D159:K163 D166:K174 D185:K185 D187:K187 D190:K192 D195:K196 D198:K198 D201:K205 D208:K216 D227:K227 D229:K229 D232:K234 D237:K238 D240:K240 D243:K247 D250:K258 D269:K269 D271:K271 D274:K276 D279:K280 D282:K282 D285:K289 D292:K300 D311:K311 D313:K313 D316:K318 D321:K322 D324:K324 D327:K331 D334:K342 D353:K353 D355:K355 D358:K360 D363:K364 D366:K366 D369:K373 D376:K384 D395:K395 D397:K397 D400:K402 D405:K406 D408:K408 D411:K415 D418:K426 D437:K437 D439:K439 D442:K444 D447:K448 D450:K450 D453:K457 D460:K468 D479:K479 D481:K481 D484:K486 D489:K490 D492:K492 D495:K499 D502:K510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2025-02-24T08:33:45Z</dcterms:created>
  <dcterms:modified xsi:type="dcterms:W3CDTF">2026-09-08T03:53:11Z</dcterms:modified>
  <cp:category/>
  <cp:contentStatus/>
</cp:coreProperties>
</file>